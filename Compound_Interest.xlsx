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816"/>
  <workbookPr autoCompressPictures="0"/>
  <bookViews>
    <workbookView xWindow="0" yWindow="0" windowWidth="25600" windowHeight="1606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" l="1"/>
  <c r="C3" i="1"/>
  <c r="D3" i="1"/>
  <c r="F3" i="1"/>
  <c r="E3" i="1"/>
  <c r="B4" i="1"/>
  <c r="C4" i="1"/>
  <c r="D4" i="1"/>
  <c r="F4" i="1"/>
  <c r="E4" i="1"/>
  <c r="B5" i="1"/>
  <c r="C5" i="1"/>
  <c r="D5" i="1"/>
  <c r="F5" i="1"/>
  <c r="E5" i="1"/>
  <c r="B6" i="1"/>
  <c r="C6" i="1"/>
  <c r="D6" i="1"/>
  <c r="F6" i="1"/>
  <c r="E6" i="1"/>
  <c r="B7" i="1"/>
  <c r="C7" i="1"/>
  <c r="D7" i="1"/>
  <c r="F7" i="1"/>
  <c r="E7" i="1"/>
  <c r="B8" i="1"/>
  <c r="C8" i="1"/>
  <c r="D8" i="1"/>
  <c r="F8" i="1"/>
  <c r="E8" i="1"/>
  <c r="B9" i="1"/>
  <c r="C9" i="1"/>
  <c r="D9" i="1"/>
  <c r="F9" i="1"/>
  <c r="E9" i="1"/>
  <c r="B10" i="1"/>
  <c r="C10" i="1"/>
  <c r="D10" i="1"/>
  <c r="F10" i="1"/>
  <c r="E10" i="1"/>
  <c r="B11" i="1"/>
  <c r="C11" i="1"/>
  <c r="D11" i="1"/>
  <c r="F11" i="1"/>
  <c r="E11" i="1"/>
  <c r="B12" i="1"/>
  <c r="C12" i="1"/>
  <c r="D12" i="1"/>
  <c r="F12" i="1"/>
  <c r="E12" i="1"/>
  <c r="B13" i="1"/>
  <c r="C13" i="1"/>
  <c r="D13" i="1"/>
  <c r="F13" i="1"/>
  <c r="E13" i="1"/>
  <c r="B14" i="1"/>
  <c r="C14" i="1"/>
  <c r="D14" i="1"/>
  <c r="F14" i="1"/>
  <c r="E14" i="1"/>
  <c r="I13" i="1"/>
  <c r="B15" i="1"/>
  <c r="C15" i="1"/>
  <c r="D15" i="1"/>
  <c r="F15" i="1"/>
  <c r="E15" i="1"/>
  <c r="B16" i="1"/>
  <c r="C16" i="1"/>
  <c r="D16" i="1"/>
  <c r="F16" i="1"/>
  <c r="E16" i="1"/>
  <c r="B17" i="1"/>
  <c r="C17" i="1"/>
  <c r="D17" i="1"/>
  <c r="F17" i="1"/>
  <c r="E17" i="1"/>
  <c r="B18" i="1"/>
  <c r="C18" i="1"/>
  <c r="D18" i="1"/>
  <c r="F18" i="1"/>
  <c r="E18" i="1"/>
  <c r="B19" i="1"/>
  <c r="C19" i="1"/>
  <c r="D19" i="1"/>
  <c r="F19" i="1"/>
  <c r="E19" i="1"/>
  <c r="B20" i="1"/>
  <c r="C20" i="1"/>
  <c r="D20" i="1"/>
  <c r="F20" i="1"/>
  <c r="E20" i="1"/>
  <c r="B21" i="1"/>
  <c r="C21" i="1"/>
  <c r="D21" i="1"/>
  <c r="F21" i="1"/>
  <c r="E21" i="1"/>
  <c r="B22" i="1"/>
  <c r="C22" i="1"/>
  <c r="D22" i="1"/>
  <c r="F22" i="1"/>
  <c r="E22" i="1"/>
  <c r="B23" i="1"/>
  <c r="C23" i="1"/>
  <c r="D23" i="1"/>
  <c r="F23" i="1"/>
  <c r="E23" i="1"/>
  <c r="B24" i="1"/>
  <c r="C24" i="1"/>
  <c r="D24" i="1"/>
  <c r="F24" i="1"/>
  <c r="E24" i="1"/>
  <c r="B25" i="1"/>
  <c r="C25" i="1"/>
  <c r="D25" i="1"/>
  <c r="F25" i="1"/>
  <c r="E25" i="1"/>
  <c r="B26" i="1"/>
  <c r="C26" i="1"/>
  <c r="D26" i="1"/>
  <c r="F26" i="1"/>
  <c r="E26" i="1"/>
  <c r="I14" i="1"/>
  <c r="B27" i="1"/>
  <c r="C27" i="1"/>
  <c r="D27" i="1"/>
  <c r="F27" i="1"/>
  <c r="E27" i="1"/>
  <c r="B28" i="1"/>
  <c r="C28" i="1"/>
  <c r="D28" i="1"/>
  <c r="F28" i="1"/>
  <c r="E28" i="1"/>
  <c r="B29" i="1"/>
  <c r="C29" i="1"/>
  <c r="D29" i="1"/>
  <c r="F29" i="1"/>
  <c r="E29" i="1"/>
  <c r="B30" i="1"/>
  <c r="C30" i="1"/>
  <c r="D30" i="1"/>
  <c r="F30" i="1"/>
  <c r="E30" i="1"/>
  <c r="B31" i="1"/>
  <c r="C31" i="1"/>
  <c r="D31" i="1"/>
  <c r="F31" i="1"/>
  <c r="E31" i="1"/>
  <c r="B32" i="1"/>
  <c r="C32" i="1"/>
  <c r="D32" i="1"/>
  <c r="F32" i="1"/>
  <c r="E32" i="1"/>
  <c r="B33" i="1"/>
  <c r="C33" i="1"/>
  <c r="D33" i="1"/>
  <c r="F33" i="1"/>
  <c r="E33" i="1"/>
  <c r="B34" i="1"/>
  <c r="C34" i="1"/>
  <c r="D34" i="1"/>
  <c r="F34" i="1"/>
  <c r="E34" i="1"/>
  <c r="B35" i="1"/>
  <c r="C35" i="1"/>
  <c r="D35" i="1"/>
  <c r="F35" i="1"/>
  <c r="E35" i="1"/>
  <c r="B36" i="1"/>
  <c r="C36" i="1"/>
  <c r="D36" i="1"/>
  <c r="F36" i="1"/>
  <c r="E36" i="1"/>
  <c r="B37" i="1"/>
  <c r="C37" i="1"/>
  <c r="D37" i="1"/>
  <c r="F37" i="1"/>
  <c r="E37" i="1"/>
  <c r="B38" i="1"/>
  <c r="C38" i="1"/>
  <c r="D38" i="1"/>
  <c r="F38" i="1"/>
  <c r="E38" i="1"/>
  <c r="B39" i="1"/>
  <c r="I15" i="1"/>
  <c r="C39" i="1"/>
  <c r="D39" i="1"/>
  <c r="F39" i="1"/>
  <c r="E39" i="1"/>
  <c r="B40" i="1"/>
  <c r="C40" i="1"/>
  <c r="D40" i="1"/>
  <c r="F40" i="1"/>
  <c r="E40" i="1"/>
  <c r="B41" i="1"/>
  <c r="C41" i="1"/>
  <c r="D41" i="1"/>
  <c r="F41" i="1"/>
  <c r="E41" i="1"/>
  <c r="B42" i="1"/>
  <c r="C42" i="1"/>
  <c r="D42" i="1"/>
  <c r="F42" i="1"/>
  <c r="E42" i="1"/>
  <c r="B43" i="1"/>
  <c r="C43" i="1"/>
  <c r="D43" i="1"/>
  <c r="F43" i="1"/>
  <c r="E43" i="1"/>
  <c r="B44" i="1"/>
  <c r="C44" i="1"/>
  <c r="D44" i="1"/>
  <c r="F44" i="1"/>
  <c r="E44" i="1"/>
  <c r="B45" i="1"/>
  <c r="C45" i="1"/>
  <c r="D45" i="1"/>
  <c r="F45" i="1"/>
  <c r="E45" i="1"/>
  <c r="B46" i="1"/>
  <c r="C46" i="1"/>
  <c r="D46" i="1"/>
  <c r="F46" i="1"/>
  <c r="E46" i="1"/>
  <c r="B47" i="1"/>
  <c r="C47" i="1"/>
  <c r="D47" i="1"/>
  <c r="F47" i="1"/>
  <c r="E47" i="1"/>
  <c r="B48" i="1"/>
  <c r="C48" i="1"/>
  <c r="D48" i="1"/>
  <c r="F48" i="1"/>
  <c r="E48" i="1"/>
  <c r="B49" i="1"/>
  <c r="C49" i="1"/>
  <c r="D49" i="1"/>
  <c r="F49" i="1"/>
  <c r="E49" i="1"/>
  <c r="B50" i="1"/>
  <c r="C50" i="1"/>
  <c r="D50" i="1"/>
  <c r="F50" i="1"/>
  <c r="E50" i="1"/>
  <c r="B51" i="1"/>
  <c r="I16" i="1"/>
  <c r="C51" i="1"/>
  <c r="D51" i="1"/>
  <c r="F51" i="1"/>
  <c r="E51" i="1"/>
  <c r="B52" i="1"/>
  <c r="C52" i="1"/>
  <c r="D52" i="1"/>
  <c r="F52" i="1"/>
  <c r="E52" i="1"/>
  <c r="B53" i="1"/>
  <c r="C53" i="1"/>
  <c r="D53" i="1"/>
  <c r="F53" i="1"/>
  <c r="E53" i="1"/>
  <c r="B54" i="1"/>
  <c r="C54" i="1"/>
  <c r="D54" i="1"/>
  <c r="F54" i="1"/>
  <c r="E54" i="1"/>
  <c r="B55" i="1"/>
  <c r="C55" i="1"/>
  <c r="D55" i="1"/>
  <c r="F55" i="1"/>
  <c r="E55" i="1"/>
  <c r="B56" i="1"/>
  <c r="C56" i="1"/>
  <c r="D56" i="1"/>
  <c r="F56" i="1"/>
  <c r="E56" i="1"/>
  <c r="B57" i="1"/>
  <c r="C57" i="1"/>
  <c r="D57" i="1"/>
  <c r="F57" i="1"/>
  <c r="E57" i="1"/>
  <c r="B58" i="1"/>
  <c r="C58" i="1"/>
  <c r="D58" i="1"/>
  <c r="F58" i="1"/>
  <c r="E58" i="1"/>
  <c r="B59" i="1"/>
  <c r="C59" i="1"/>
  <c r="D59" i="1"/>
  <c r="F59" i="1"/>
  <c r="E59" i="1"/>
  <c r="B60" i="1"/>
  <c r="C60" i="1"/>
  <c r="D60" i="1"/>
  <c r="F60" i="1"/>
  <c r="E60" i="1"/>
  <c r="B61" i="1"/>
  <c r="C61" i="1"/>
  <c r="D61" i="1"/>
  <c r="F61" i="1"/>
  <c r="E61" i="1"/>
  <c r="B62" i="1"/>
  <c r="C62" i="1"/>
  <c r="D62" i="1"/>
  <c r="F62" i="1"/>
  <c r="E62" i="1"/>
  <c r="I17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</calcChain>
</file>

<file path=xl/comments1.xml><?xml version="1.0" encoding="utf-8"?>
<comments xmlns="http://schemas.openxmlformats.org/spreadsheetml/2006/main">
  <authors>
    <author>DETR</author>
  </authors>
  <commentList>
    <comment ref="I7" authorId="0">
      <text>
        <r>
          <rPr>
            <sz val="8"/>
            <color indexed="81"/>
            <rFont val="Tahoma"/>
            <family val="2"/>
          </rPr>
          <t xml:space="preserve">This is used to specify any minimum portfolio growth you require. For example, if you had £10000, and your outgoings were £1000 per month, and you were returning exactly 10% per month, you could give up work, but your portfolio would not be growing.
With this field, you can specify that you want an additional, say, £500 portfolio growth per month above your monthly outgoings. In a way, it is the same as saying your outgoings are £1500 a month, but you are leaving £500 in the portfolio.
</t>
        </r>
      </text>
    </comment>
  </commentList>
</comments>
</file>

<file path=xl/sharedStrings.xml><?xml version="1.0" encoding="utf-8"?>
<sst xmlns="http://schemas.openxmlformats.org/spreadsheetml/2006/main" count="14" uniqueCount="13">
  <si>
    <t>Month</t>
  </si>
  <si>
    <t>Capital</t>
  </si>
  <si>
    <t>Monthly Return</t>
  </si>
  <si>
    <t>Monthly Outgoings</t>
  </si>
  <si>
    <t>Portfolio Value</t>
  </si>
  <si>
    <t>Seed Capital</t>
  </si>
  <si>
    <t>Profit per month</t>
  </si>
  <si>
    <t>Min portfolio growth per mth</t>
  </si>
  <si>
    <t>Account size  after 1 year</t>
  </si>
  <si>
    <t>Account size  after 2 year</t>
  </si>
  <si>
    <t>Account size  after 3 year</t>
  </si>
  <si>
    <t>Account size  after 4 year</t>
  </si>
  <si>
    <t>Account size  after 5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</si>
</sst>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£&quot;* #,##0.00_-;\-&quot;£&quot;* #,##0.00_-;_-&quot;£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" fontId="0" fillId="0" borderId="0" xfId="0" applyNumberFormat="1"/>
    <xf numFmtId="44" fontId="0" fillId="0" borderId="0" xfId="1" applyFont="1"/>
    <xf numFmtId="1" fontId="2" fillId="0" borderId="0" xfId="0" applyNumberFormat="1" applyFont="1" applyAlignment="1">
      <alignment horizontal="right" wrapText="1"/>
    </xf>
    <xf numFmtId="44" fontId="2" fillId="0" borderId="0" xfId="1" applyFont="1" applyAlignment="1">
      <alignment horizontal="center" wrapText="1"/>
    </xf>
    <xf numFmtId="0" fontId="0" fillId="0" borderId="0" xfId="0" applyAlignment="1">
      <alignment wrapText="1"/>
    </xf>
    <xf numFmtId="1" fontId="0" fillId="0" borderId="0" xfId="1" applyNumberFormat="1" applyFont="1"/>
    <xf numFmtId="0" fontId="2" fillId="0" borderId="0" xfId="0" applyFont="1" applyFill="1"/>
    <xf numFmtId="0" fontId="0" fillId="0" borderId="0" xfId="0" applyFill="1"/>
    <xf numFmtId="0" fontId="2" fillId="0" borderId="0" xfId="0" applyFont="1"/>
    <xf numFmtId="0" fontId="3" fillId="0" borderId="0" xfId="0" applyFont="1" applyFill="1"/>
    <xf numFmtId="0" fontId="6" fillId="2" borderId="0" xfId="0" applyFont="1" applyFill="1"/>
    <xf numFmtId="44" fontId="5" fillId="2" borderId="0" xfId="1" applyFont="1" applyFill="1"/>
    <xf numFmtId="9" fontId="5" fillId="2" borderId="0" xfId="2" applyFont="1" applyFill="1"/>
    <xf numFmtId="0" fontId="7" fillId="2" borderId="0" xfId="0" applyFont="1" applyFill="1"/>
    <xf numFmtId="44" fontId="5" fillId="2" borderId="0" xfId="0" applyNumberFormat="1" applyFont="1" applyFill="1"/>
    <xf numFmtId="1" fontId="5" fillId="2" borderId="0" xfId="1" applyNumberFormat="1" applyFont="1" applyFill="1"/>
    <xf numFmtId="0" fontId="5" fillId="2" borderId="0" xfId="0" applyFont="1" applyFill="1"/>
    <xf numFmtId="44" fontId="5" fillId="3" borderId="0" xfId="1" applyFont="1" applyFill="1"/>
    <xf numFmtId="0" fontId="6" fillId="0" borderId="0" xfId="0" applyFont="1" applyFill="1"/>
    <xf numFmtId="44" fontId="5" fillId="0" borderId="0" xfId="1" applyFont="1" applyFill="1"/>
  </cellXfs>
  <cellStyles count="3">
    <cellStyle name="Currency" xfId="1" builtinId="4"/>
    <cellStyle name="Normal" xfId="0" builtinId="0"/>
    <cellStyle name="Percent" xfId="2" builtinId="5"/>
  </cellStyles>
  <dxfs count="1">
    <dxf>
      <fill>
        <patternFill>
          <bgColor indexed="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90"/>
  <sheetViews>
    <sheetView tabSelected="1" workbookViewId="0">
      <selection activeCell="I4" sqref="I4"/>
    </sheetView>
  </sheetViews>
  <sheetFormatPr baseColWidth="10" defaultColWidth="8.83203125" defaultRowHeight="14" x14ac:dyDescent="0"/>
  <cols>
    <col min="2" max="2" width="18" bestFit="1" customWidth="1"/>
    <col min="3" max="3" width="16.33203125" bestFit="1" customWidth="1"/>
    <col min="4" max="4" width="10.1640625" bestFit="1" customWidth="1"/>
    <col min="5" max="5" width="18" bestFit="1" customWidth="1"/>
    <col min="7" max="7" width="3.5" customWidth="1"/>
    <col min="8" max="8" width="34.33203125" bestFit="1" customWidth="1"/>
    <col min="9" max="9" width="44.83203125" bestFit="1" customWidth="1"/>
  </cols>
  <sheetData>
    <row r="1" spans="1:10">
      <c r="A1" s="1"/>
      <c r="B1" s="2"/>
      <c r="C1" s="2"/>
      <c r="D1" s="2"/>
      <c r="E1" s="2"/>
    </row>
    <row r="2" spans="1:10" ht="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/>
      <c r="G2" s="5"/>
      <c r="H2" s="5"/>
      <c r="I2" s="5"/>
    </row>
    <row r="3" spans="1:10">
      <c r="A3" s="6">
        <v>1</v>
      </c>
      <c r="B3" s="2">
        <f>I4</f>
        <v>1000</v>
      </c>
      <c r="C3" s="2">
        <f t="shared" ref="C3:C66" si="0">B3*$I$5</f>
        <v>120</v>
      </c>
      <c r="D3" s="2">
        <f t="shared" ref="D3:D66" si="1">IF(C3&lt;($I$6+$I$7),0,$I$6)</f>
        <v>0</v>
      </c>
      <c r="E3" s="2">
        <f>B3+C3-D3</f>
        <v>1120</v>
      </c>
      <c r="F3" t="str">
        <f t="shared" ref="F3:F62" si="2">IF((D3=$I$6), IF(D2=0,A3,""),"")</f>
        <v/>
      </c>
      <c r="H3" s="7"/>
      <c r="I3" s="8"/>
    </row>
    <row r="4" spans="1:10">
      <c r="A4" s="16">
        <v>2</v>
      </c>
      <c r="B4" s="12">
        <f>E3</f>
        <v>1120</v>
      </c>
      <c r="C4" s="18">
        <f t="shared" si="0"/>
        <v>134.4</v>
      </c>
      <c r="D4" s="12">
        <f t="shared" si="1"/>
        <v>0</v>
      </c>
      <c r="E4" s="12">
        <f t="shared" ref="E4:E67" si="3">B4+C4-D4</f>
        <v>1254.4000000000001</v>
      </c>
      <c r="F4">
        <f t="shared" si="2"/>
        <v>2</v>
      </c>
      <c r="H4" s="11" t="s">
        <v>5</v>
      </c>
      <c r="I4" s="12">
        <v>1000</v>
      </c>
    </row>
    <row r="5" spans="1:10">
      <c r="A5" s="16">
        <v>3</v>
      </c>
      <c r="B5" s="12">
        <f t="shared" ref="B5:B68" si="4">E4</f>
        <v>1254.4000000000001</v>
      </c>
      <c r="C5" s="12">
        <f t="shared" si="0"/>
        <v>150.52799999999999</v>
      </c>
      <c r="D5" s="12">
        <f t="shared" si="1"/>
        <v>0</v>
      </c>
      <c r="E5" s="12">
        <f t="shared" si="3"/>
        <v>1404.9280000000001</v>
      </c>
      <c r="F5">
        <f t="shared" si="2"/>
        <v>3</v>
      </c>
      <c r="H5" s="11" t="s">
        <v>6</v>
      </c>
      <c r="I5" s="13">
        <v>0.12</v>
      </c>
    </row>
    <row r="6" spans="1:10">
      <c r="A6" s="16">
        <v>4</v>
      </c>
      <c r="B6" s="12">
        <f t="shared" si="4"/>
        <v>1404.9280000000001</v>
      </c>
      <c r="C6" s="12">
        <f t="shared" si="0"/>
        <v>168.59136000000001</v>
      </c>
      <c r="D6" s="12">
        <f t="shared" si="1"/>
        <v>0</v>
      </c>
      <c r="E6" s="12">
        <f t="shared" si="3"/>
        <v>1573.5193600000002</v>
      </c>
      <c r="F6">
        <f t="shared" si="2"/>
        <v>4</v>
      </c>
      <c r="H6" s="11" t="s">
        <v>3</v>
      </c>
      <c r="I6" s="12"/>
    </row>
    <row r="7" spans="1:10">
      <c r="A7" s="16">
        <v>5</v>
      </c>
      <c r="B7" s="12">
        <f t="shared" si="4"/>
        <v>1573.5193600000002</v>
      </c>
      <c r="C7" s="12">
        <f t="shared" si="0"/>
        <v>188.82232320000003</v>
      </c>
      <c r="D7" s="12">
        <f t="shared" si="1"/>
        <v>0</v>
      </c>
      <c r="E7" s="12">
        <f t="shared" si="3"/>
        <v>1762.3416832000003</v>
      </c>
      <c r="F7">
        <f t="shared" si="2"/>
        <v>5</v>
      </c>
      <c r="G7" s="8"/>
      <c r="H7" s="19" t="s">
        <v>7</v>
      </c>
      <c r="I7" s="20"/>
      <c r="J7" s="8"/>
    </row>
    <row r="8" spans="1:10">
      <c r="A8" s="16">
        <v>6</v>
      </c>
      <c r="B8" s="12">
        <f t="shared" si="4"/>
        <v>1762.3416832000003</v>
      </c>
      <c r="C8" s="12">
        <f t="shared" si="0"/>
        <v>211.48100198400002</v>
      </c>
      <c r="D8" s="12">
        <f t="shared" si="1"/>
        <v>0</v>
      </c>
      <c r="E8" s="12">
        <f t="shared" si="3"/>
        <v>1973.8226851840002</v>
      </c>
      <c r="F8">
        <f t="shared" si="2"/>
        <v>6</v>
      </c>
      <c r="H8" s="9"/>
    </row>
    <row r="9" spans="1:10">
      <c r="A9" s="16">
        <v>7</v>
      </c>
      <c r="B9" s="12">
        <f t="shared" si="4"/>
        <v>1973.8226851840002</v>
      </c>
      <c r="C9" s="12">
        <f t="shared" si="0"/>
        <v>236.85872222208002</v>
      </c>
      <c r="D9" s="12">
        <f t="shared" si="1"/>
        <v>0</v>
      </c>
      <c r="E9" s="12">
        <f t="shared" si="3"/>
        <v>2210.6814074060803</v>
      </c>
      <c r="F9">
        <f t="shared" si="2"/>
        <v>7</v>
      </c>
      <c r="G9" s="8"/>
      <c r="H9" s="8"/>
      <c r="I9" s="8"/>
    </row>
    <row r="10" spans="1:10">
      <c r="A10" s="16">
        <v>8</v>
      </c>
      <c r="B10" s="12">
        <f t="shared" si="4"/>
        <v>2210.6814074060803</v>
      </c>
      <c r="C10" s="12">
        <f t="shared" si="0"/>
        <v>265.28176888872963</v>
      </c>
      <c r="D10" s="12">
        <f t="shared" si="1"/>
        <v>0</v>
      </c>
      <c r="E10" s="12">
        <f t="shared" si="3"/>
        <v>2475.9631762948102</v>
      </c>
      <c r="F10">
        <f t="shared" si="2"/>
        <v>8</v>
      </c>
      <c r="G10" s="8"/>
      <c r="H10" s="7"/>
      <c r="I10" s="8"/>
    </row>
    <row r="11" spans="1:10">
      <c r="A11" s="16">
        <v>9</v>
      </c>
      <c r="B11" s="12">
        <f t="shared" si="4"/>
        <v>2475.9631762948102</v>
      </c>
      <c r="C11" s="12">
        <f t="shared" si="0"/>
        <v>297.11558115537719</v>
      </c>
      <c r="D11" s="12">
        <f t="shared" si="1"/>
        <v>0</v>
      </c>
      <c r="E11" s="12">
        <f t="shared" si="3"/>
        <v>2773.0787574501874</v>
      </c>
      <c r="F11">
        <f t="shared" si="2"/>
        <v>9</v>
      </c>
      <c r="G11" s="8"/>
      <c r="H11" s="7"/>
      <c r="I11" s="8"/>
    </row>
    <row r="12" spans="1:10">
      <c r="A12" s="16">
        <v>10</v>
      </c>
      <c r="B12" s="12">
        <f t="shared" si="4"/>
        <v>2773.0787574501874</v>
      </c>
      <c r="C12" s="12">
        <f t="shared" si="0"/>
        <v>332.7694508940225</v>
      </c>
      <c r="D12" s="12">
        <f t="shared" si="1"/>
        <v>0</v>
      </c>
      <c r="E12" s="12">
        <f t="shared" si="3"/>
        <v>3105.84820834421</v>
      </c>
      <c r="F12">
        <f t="shared" si="2"/>
        <v>10</v>
      </c>
      <c r="H12" s="7"/>
      <c r="I12" s="10"/>
    </row>
    <row r="13" spans="1:10">
      <c r="A13" s="16">
        <v>11</v>
      </c>
      <c r="B13" s="12">
        <f t="shared" si="4"/>
        <v>3105.84820834421</v>
      </c>
      <c r="C13" s="12">
        <f t="shared" si="0"/>
        <v>372.70178500130521</v>
      </c>
      <c r="D13" s="12">
        <f t="shared" si="1"/>
        <v>0</v>
      </c>
      <c r="E13" s="12">
        <f t="shared" si="3"/>
        <v>3478.5499933455153</v>
      </c>
      <c r="F13">
        <f t="shared" si="2"/>
        <v>11</v>
      </c>
      <c r="H13" s="14" t="s">
        <v>8</v>
      </c>
      <c r="I13" s="15">
        <f>E14</f>
        <v>3895.9759925469771</v>
      </c>
    </row>
    <row r="14" spans="1:10">
      <c r="A14" s="16">
        <v>12</v>
      </c>
      <c r="B14" s="12">
        <f t="shared" si="4"/>
        <v>3478.5499933455153</v>
      </c>
      <c r="C14" s="12">
        <f t="shared" si="0"/>
        <v>417.42599920146182</v>
      </c>
      <c r="D14" s="12">
        <f t="shared" si="1"/>
        <v>0</v>
      </c>
      <c r="E14" s="12">
        <f t="shared" si="3"/>
        <v>3895.9759925469771</v>
      </c>
      <c r="F14">
        <f t="shared" si="2"/>
        <v>12</v>
      </c>
      <c r="H14" s="14" t="s">
        <v>9</v>
      </c>
      <c r="I14" s="15">
        <f>E26</f>
        <v>15178.628934502398</v>
      </c>
    </row>
    <row r="15" spans="1:10">
      <c r="A15" s="16">
        <v>13</v>
      </c>
      <c r="B15" s="12">
        <f t="shared" si="4"/>
        <v>3895.9759925469771</v>
      </c>
      <c r="C15" s="12">
        <f t="shared" si="0"/>
        <v>467.51711910563722</v>
      </c>
      <c r="D15" s="12">
        <f t="shared" si="1"/>
        <v>0</v>
      </c>
      <c r="E15" s="12">
        <f t="shared" si="3"/>
        <v>4363.4931116526141</v>
      </c>
      <c r="F15">
        <f t="shared" si="2"/>
        <v>13</v>
      </c>
      <c r="H15" s="14" t="s">
        <v>10</v>
      </c>
      <c r="I15" s="15">
        <f>E38</f>
        <v>59135.573928600221</v>
      </c>
    </row>
    <row r="16" spans="1:10">
      <c r="A16" s="16">
        <v>14</v>
      </c>
      <c r="B16" s="12">
        <f t="shared" si="4"/>
        <v>4363.4931116526141</v>
      </c>
      <c r="C16" s="12">
        <f t="shared" si="0"/>
        <v>523.61917339831371</v>
      </c>
      <c r="D16" s="12">
        <f t="shared" si="1"/>
        <v>0</v>
      </c>
      <c r="E16" s="12">
        <f t="shared" si="3"/>
        <v>4887.1122850509273</v>
      </c>
      <c r="F16">
        <f t="shared" si="2"/>
        <v>14</v>
      </c>
      <c r="H16" s="14" t="s">
        <v>11</v>
      </c>
      <c r="I16" s="15">
        <f>E50</f>
        <v>230390.7763313133</v>
      </c>
    </row>
    <row r="17" spans="1:9">
      <c r="A17" s="16">
        <v>15</v>
      </c>
      <c r="B17" s="12">
        <f t="shared" si="4"/>
        <v>4887.1122850509273</v>
      </c>
      <c r="C17" s="12">
        <f t="shared" si="0"/>
        <v>586.45347420611131</v>
      </c>
      <c r="D17" s="12">
        <f t="shared" si="1"/>
        <v>0</v>
      </c>
      <c r="E17" s="12">
        <f t="shared" si="3"/>
        <v>5473.5657592570387</v>
      </c>
      <c r="F17">
        <f t="shared" si="2"/>
        <v>15</v>
      </c>
      <c r="H17" s="14" t="s">
        <v>12</v>
      </c>
      <c r="I17" s="15">
        <f>E62</f>
        <v>897596.93349105678</v>
      </c>
    </row>
    <row r="18" spans="1:9">
      <c r="A18" s="16">
        <v>16</v>
      </c>
      <c r="B18" s="12">
        <f t="shared" si="4"/>
        <v>5473.5657592570387</v>
      </c>
      <c r="C18" s="12">
        <f t="shared" si="0"/>
        <v>656.82789111084458</v>
      </c>
      <c r="D18" s="12">
        <f t="shared" si="1"/>
        <v>0</v>
      </c>
      <c r="E18" s="12">
        <f t="shared" si="3"/>
        <v>6130.3936503678833</v>
      </c>
      <c r="F18">
        <f t="shared" si="2"/>
        <v>16</v>
      </c>
    </row>
    <row r="19" spans="1:9">
      <c r="A19" s="16">
        <v>17</v>
      </c>
      <c r="B19" s="12">
        <f t="shared" si="4"/>
        <v>6130.3936503678833</v>
      </c>
      <c r="C19" s="12">
        <f t="shared" si="0"/>
        <v>735.64723804414598</v>
      </c>
      <c r="D19" s="12">
        <f t="shared" si="1"/>
        <v>0</v>
      </c>
      <c r="E19" s="12">
        <f t="shared" si="3"/>
        <v>6866.0408884120297</v>
      </c>
      <c r="F19">
        <f t="shared" si="2"/>
        <v>17</v>
      </c>
    </row>
    <row r="20" spans="1:9">
      <c r="A20" s="16">
        <v>18</v>
      </c>
      <c r="B20" s="12">
        <f t="shared" si="4"/>
        <v>6866.0408884120297</v>
      </c>
      <c r="C20" s="12">
        <f t="shared" si="0"/>
        <v>823.9249066094435</v>
      </c>
      <c r="D20" s="12">
        <f t="shared" si="1"/>
        <v>0</v>
      </c>
      <c r="E20" s="12">
        <f t="shared" si="3"/>
        <v>7689.9657950214732</v>
      </c>
      <c r="F20">
        <f t="shared" si="2"/>
        <v>18</v>
      </c>
    </row>
    <row r="21" spans="1:9">
      <c r="A21" s="16">
        <v>19</v>
      </c>
      <c r="B21" s="12">
        <f t="shared" si="4"/>
        <v>7689.9657950214732</v>
      </c>
      <c r="C21" s="12">
        <f t="shared" si="0"/>
        <v>922.79589540257678</v>
      </c>
      <c r="D21" s="12">
        <f t="shared" si="1"/>
        <v>0</v>
      </c>
      <c r="E21" s="12">
        <f t="shared" si="3"/>
        <v>8612.7616904240494</v>
      </c>
      <c r="F21">
        <f t="shared" si="2"/>
        <v>19</v>
      </c>
    </row>
    <row r="22" spans="1:9">
      <c r="A22" s="16">
        <v>20</v>
      </c>
      <c r="B22" s="12">
        <f t="shared" si="4"/>
        <v>8612.7616904240494</v>
      </c>
      <c r="C22" s="12">
        <f t="shared" si="0"/>
        <v>1033.5314028508858</v>
      </c>
      <c r="D22" s="12">
        <f t="shared" si="1"/>
        <v>0</v>
      </c>
      <c r="E22" s="12">
        <f t="shared" si="3"/>
        <v>9646.293093274935</v>
      </c>
      <c r="F22">
        <f t="shared" si="2"/>
        <v>20</v>
      </c>
    </row>
    <row r="23" spans="1:9">
      <c r="A23" s="16">
        <v>21</v>
      </c>
      <c r="B23" s="12">
        <f t="shared" si="4"/>
        <v>9646.293093274935</v>
      </c>
      <c r="C23" s="12">
        <f t="shared" si="0"/>
        <v>1157.5551711929922</v>
      </c>
      <c r="D23" s="12">
        <f t="shared" si="1"/>
        <v>0</v>
      </c>
      <c r="E23" s="12">
        <f t="shared" si="3"/>
        <v>10803.848264467928</v>
      </c>
      <c r="F23">
        <f t="shared" si="2"/>
        <v>21</v>
      </c>
    </row>
    <row r="24" spans="1:9">
      <c r="A24" s="16">
        <v>22</v>
      </c>
      <c r="B24" s="12">
        <f t="shared" si="4"/>
        <v>10803.848264467928</v>
      </c>
      <c r="C24" s="12">
        <f t="shared" si="0"/>
        <v>1296.4617917361513</v>
      </c>
      <c r="D24" s="12">
        <f t="shared" si="1"/>
        <v>0</v>
      </c>
      <c r="E24" s="12">
        <f t="shared" si="3"/>
        <v>12100.31005620408</v>
      </c>
      <c r="F24">
        <f t="shared" si="2"/>
        <v>22</v>
      </c>
    </row>
    <row r="25" spans="1:9">
      <c r="A25" s="16">
        <v>23</v>
      </c>
      <c r="B25" s="12">
        <f t="shared" si="4"/>
        <v>12100.31005620408</v>
      </c>
      <c r="C25" s="12">
        <f t="shared" si="0"/>
        <v>1452.0372067444896</v>
      </c>
      <c r="D25" s="12">
        <f t="shared" si="1"/>
        <v>0</v>
      </c>
      <c r="E25" s="12">
        <f t="shared" si="3"/>
        <v>13552.34726294857</v>
      </c>
      <c r="F25">
        <f t="shared" si="2"/>
        <v>23</v>
      </c>
    </row>
    <row r="26" spans="1:9">
      <c r="A26" s="16">
        <v>24</v>
      </c>
      <c r="B26" s="12">
        <f t="shared" si="4"/>
        <v>13552.34726294857</v>
      </c>
      <c r="C26" s="12">
        <f t="shared" si="0"/>
        <v>1626.2816715538283</v>
      </c>
      <c r="D26" s="12">
        <f t="shared" si="1"/>
        <v>0</v>
      </c>
      <c r="E26" s="12">
        <f t="shared" si="3"/>
        <v>15178.628934502398</v>
      </c>
      <c r="F26">
        <f t="shared" si="2"/>
        <v>24</v>
      </c>
    </row>
    <row r="27" spans="1:9">
      <c r="A27" s="16">
        <v>25</v>
      </c>
      <c r="B27" s="12">
        <f t="shared" si="4"/>
        <v>15178.628934502398</v>
      </c>
      <c r="C27" s="12">
        <f t="shared" si="0"/>
        <v>1821.4354721402876</v>
      </c>
      <c r="D27" s="12">
        <f t="shared" si="1"/>
        <v>0</v>
      </c>
      <c r="E27" s="12">
        <f t="shared" si="3"/>
        <v>17000.064406642687</v>
      </c>
      <c r="F27">
        <f t="shared" si="2"/>
        <v>25</v>
      </c>
    </row>
    <row r="28" spans="1:9">
      <c r="A28" s="16">
        <v>26</v>
      </c>
      <c r="B28" s="12">
        <f t="shared" si="4"/>
        <v>17000.064406642687</v>
      </c>
      <c r="C28" s="12">
        <f t="shared" si="0"/>
        <v>2040.0077287971224</v>
      </c>
      <c r="D28" s="12">
        <f t="shared" si="1"/>
        <v>0</v>
      </c>
      <c r="E28" s="12">
        <f t="shared" si="3"/>
        <v>19040.072135439808</v>
      </c>
      <c r="F28">
        <f t="shared" si="2"/>
        <v>26</v>
      </c>
    </row>
    <row r="29" spans="1:9">
      <c r="A29" s="16">
        <v>27</v>
      </c>
      <c r="B29" s="12">
        <f t="shared" si="4"/>
        <v>19040.072135439808</v>
      </c>
      <c r="C29" s="12">
        <f t="shared" si="0"/>
        <v>2284.8086562527769</v>
      </c>
      <c r="D29" s="12">
        <f t="shared" si="1"/>
        <v>0</v>
      </c>
      <c r="E29" s="12">
        <f t="shared" si="3"/>
        <v>21324.880791692587</v>
      </c>
      <c r="F29">
        <f t="shared" si="2"/>
        <v>27</v>
      </c>
    </row>
    <row r="30" spans="1:9">
      <c r="A30" s="16">
        <v>28</v>
      </c>
      <c r="B30" s="12">
        <f t="shared" si="4"/>
        <v>21324.880791692587</v>
      </c>
      <c r="C30" s="12">
        <f t="shared" si="0"/>
        <v>2558.9856950031103</v>
      </c>
      <c r="D30" s="12">
        <f t="shared" si="1"/>
        <v>0</v>
      </c>
      <c r="E30" s="12">
        <f t="shared" si="3"/>
        <v>23883.866486695697</v>
      </c>
      <c r="F30">
        <f t="shared" si="2"/>
        <v>28</v>
      </c>
    </row>
    <row r="31" spans="1:9">
      <c r="A31" s="16">
        <v>29</v>
      </c>
      <c r="B31" s="12">
        <f t="shared" si="4"/>
        <v>23883.866486695697</v>
      </c>
      <c r="C31" s="12">
        <f t="shared" si="0"/>
        <v>2866.0639784034834</v>
      </c>
      <c r="D31" s="12">
        <f t="shared" si="1"/>
        <v>0</v>
      </c>
      <c r="E31" s="12">
        <f t="shared" si="3"/>
        <v>26749.93046509918</v>
      </c>
      <c r="F31">
        <f t="shared" si="2"/>
        <v>29</v>
      </c>
    </row>
    <row r="32" spans="1:9">
      <c r="A32" s="16">
        <v>30</v>
      </c>
      <c r="B32" s="12">
        <f t="shared" si="4"/>
        <v>26749.93046509918</v>
      </c>
      <c r="C32" s="12">
        <f t="shared" si="0"/>
        <v>3209.9916558119016</v>
      </c>
      <c r="D32" s="12">
        <f t="shared" si="1"/>
        <v>0</v>
      </c>
      <c r="E32" s="12">
        <f t="shared" si="3"/>
        <v>29959.92212091108</v>
      </c>
      <c r="F32">
        <f t="shared" si="2"/>
        <v>30</v>
      </c>
    </row>
    <row r="33" spans="1:6">
      <c r="A33" s="16">
        <v>31</v>
      </c>
      <c r="B33" s="12">
        <f t="shared" si="4"/>
        <v>29959.92212091108</v>
      </c>
      <c r="C33" s="12">
        <f t="shared" si="0"/>
        <v>3595.1906545093293</v>
      </c>
      <c r="D33" s="12">
        <f t="shared" si="1"/>
        <v>0</v>
      </c>
      <c r="E33" s="12">
        <f t="shared" si="3"/>
        <v>33555.112775420406</v>
      </c>
      <c r="F33">
        <f t="shared" si="2"/>
        <v>31</v>
      </c>
    </row>
    <row r="34" spans="1:6">
      <c r="A34" s="16">
        <v>32</v>
      </c>
      <c r="B34" s="12">
        <f t="shared" si="4"/>
        <v>33555.112775420406</v>
      </c>
      <c r="C34" s="12">
        <f t="shared" si="0"/>
        <v>4026.6135330504485</v>
      </c>
      <c r="D34" s="12">
        <f t="shared" si="1"/>
        <v>0</v>
      </c>
      <c r="E34" s="12">
        <f t="shared" si="3"/>
        <v>37581.726308470854</v>
      </c>
      <c r="F34">
        <f t="shared" si="2"/>
        <v>32</v>
      </c>
    </row>
    <row r="35" spans="1:6">
      <c r="A35" s="16">
        <v>33</v>
      </c>
      <c r="B35" s="12">
        <f t="shared" si="4"/>
        <v>37581.726308470854</v>
      </c>
      <c r="C35" s="12">
        <f t="shared" si="0"/>
        <v>4509.8071570165021</v>
      </c>
      <c r="D35" s="12">
        <f t="shared" si="1"/>
        <v>0</v>
      </c>
      <c r="E35" s="12">
        <f t="shared" si="3"/>
        <v>42091.533465487359</v>
      </c>
      <c r="F35">
        <f t="shared" si="2"/>
        <v>33</v>
      </c>
    </row>
    <row r="36" spans="1:6">
      <c r="A36" s="16">
        <v>34</v>
      </c>
      <c r="B36" s="12">
        <f t="shared" si="4"/>
        <v>42091.533465487359</v>
      </c>
      <c r="C36" s="12">
        <f t="shared" si="0"/>
        <v>5050.984015858483</v>
      </c>
      <c r="D36" s="12">
        <f t="shared" si="1"/>
        <v>0</v>
      </c>
      <c r="E36" s="12">
        <f t="shared" si="3"/>
        <v>47142.517481345843</v>
      </c>
      <c r="F36">
        <f t="shared" si="2"/>
        <v>34</v>
      </c>
    </row>
    <row r="37" spans="1:6">
      <c r="A37" s="16">
        <v>35</v>
      </c>
      <c r="B37" s="12">
        <f t="shared" si="4"/>
        <v>47142.517481345843</v>
      </c>
      <c r="C37" s="12">
        <f t="shared" si="0"/>
        <v>5657.1020977615008</v>
      </c>
      <c r="D37" s="12">
        <f t="shared" si="1"/>
        <v>0</v>
      </c>
      <c r="E37" s="12">
        <f t="shared" si="3"/>
        <v>52799.619579107341</v>
      </c>
      <c r="F37">
        <f t="shared" si="2"/>
        <v>35</v>
      </c>
    </row>
    <row r="38" spans="1:6">
      <c r="A38" s="16">
        <v>36</v>
      </c>
      <c r="B38" s="12">
        <f t="shared" si="4"/>
        <v>52799.619579107341</v>
      </c>
      <c r="C38" s="12">
        <f t="shared" si="0"/>
        <v>6335.9543494928803</v>
      </c>
      <c r="D38" s="12">
        <f t="shared" si="1"/>
        <v>0</v>
      </c>
      <c r="E38" s="12">
        <f t="shared" si="3"/>
        <v>59135.573928600221</v>
      </c>
      <c r="F38">
        <f t="shared" si="2"/>
        <v>36</v>
      </c>
    </row>
    <row r="39" spans="1:6">
      <c r="A39" s="16">
        <v>37</v>
      </c>
      <c r="B39" s="12">
        <f t="shared" si="4"/>
        <v>59135.573928600221</v>
      </c>
      <c r="C39" s="12">
        <f t="shared" si="0"/>
        <v>7096.2688714320266</v>
      </c>
      <c r="D39" s="12">
        <f t="shared" si="1"/>
        <v>0</v>
      </c>
      <c r="E39" s="12">
        <f t="shared" si="3"/>
        <v>66231.842800032246</v>
      </c>
      <c r="F39">
        <f t="shared" si="2"/>
        <v>37</v>
      </c>
    </row>
    <row r="40" spans="1:6">
      <c r="A40" s="16">
        <v>38</v>
      </c>
      <c r="B40" s="12">
        <f t="shared" si="4"/>
        <v>66231.842800032246</v>
      </c>
      <c r="C40" s="12">
        <f t="shared" si="0"/>
        <v>7947.8211360038695</v>
      </c>
      <c r="D40" s="12">
        <f t="shared" si="1"/>
        <v>0</v>
      </c>
      <c r="E40" s="12">
        <f t="shared" si="3"/>
        <v>74179.663936036115</v>
      </c>
      <c r="F40">
        <f t="shared" si="2"/>
        <v>38</v>
      </c>
    </row>
    <row r="41" spans="1:6">
      <c r="A41" s="16">
        <v>39</v>
      </c>
      <c r="B41" s="12">
        <f t="shared" si="4"/>
        <v>74179.663936036115</v>
      </c>
      <c r="C41" s="12">
        <f t="shared" si="0"/>
        <v>8901.5596723243343</v>
      </c>
      <c r="D41" s="12">
        <f t="shared" si="1"/>
        <v>0</v>
      </c>
      <c r="E41" s="12">
        <f t="shared" si="3"/>
        <v>83081.223608360451</v>
      </c>
      <c r="F41">
        <f t="shared" si="2"/>
        <v>39</v>
      </c>
    </row>
    <row r="42" spans="1:6">
      <c r="A42" s="16">
        <v>40</v>
      </c>
      <c r="B42" s="12">
        <f t="shared" si="4"/>
        <v>83081.223608360451</v>
      </c>
      <c r="C42" s="12">
        <f t="shared" si="0"/>
        <v>9969.7468330032534</v>
      </c>
      <c r="D42" s="12">
        <f t="shared" si="1"/>
        <v>0</v>
      </c>
      <c r="E42" s="12">
        <f t="shared" si="3"/>
        <v>93050.970441363708</v>
      </c>
      <c r="F42">
        <f t="shared" si="2"/>
        <v>40</v>
      </c>
    </row>
    <row r="43" spans="1:6">
      <c r="A43" s="16">
        <v>41</v>
      </c>
      <c r="B43" s="12">
        <f t="shared" si="4"/>
        <v>93050.970441363708</v>
      </c>
      <c r="C43" s="12">
        <f t="shared" si="0"/>
        <v>11166.116452963644</v>
      </c>
      <c r="D43" s="12">
        <f t="shared" si="1"/>
        <v>0</v>
      </c>
      <c r="E43" s="12">
        <f t="shared" si="3"/>
        <v>104217.08689432735</v>
      </c>
      <c r="F43">
        <f t="shared" si="2"/>
        <v>41</v>
      </c>
    </row>
    <row r="44" spans="1:6">
      <c r="A44" s="16">
        <v>42</v>
      </c>
      <c r="B44" s="12">
        <f t="shared" si="4"/>
        <v>104217.08689432735</v>
      </c>
      <c r="C44" s="12">
        <f t="shared" si="0"/>
        <v>12506.050427319282</v>
      </c>
      <c r="D44" s="12">
        <f t="shared" si="1"/>
        <v>0</v>
      </c>
      <c r="E44" s="12">
        <f t="shared" si="3"/>
        <v>116723.13732164663</v>
      </c>
      <c r="F44">
        <f t="shared" si="2"/>
        <v>42</v>
      </c>
    </row>
    <row r="45" spans="1:6">
      <c r="A45" s="16">
        <v>43</v>
      </c>
      <c r="B45" s="12">
        <f t="shared" si="4"/>
        <v>116723.13732164663</v>
      </c>
      <c r="C45" s="12">
        <f t="shared" si="0"/>
        <v>14006.776478597596</v>
      </c>
      <c r="D45" s="12">
        <f t="shared" si="1"/>
        <v>0</v>
      </c>
      <c r="E45" s="12">
        <f t="shared" si="3"/>
        <v>130729.91380024422</v>
      </c>
      <c r="F45">
        <f t="shared" si="2"/>
        <v>43</v>
      </c>
    </row>
    <row r="46" spans="1:6">
      <c r="A46" s="16">
        <v>44</v>
      </c>
      <c r="B46" s="12">
        <f t="shared" si="4"/>
        <v>130729.91380024422</v>
      </c>
      <c r="C46" s="12">
        <f t="shared" si="0"/>
        <v>15687.589656029306</v>
      </c>
      <c r="D46" s="12">
        <f t="shared" si="1"/>
        <v>0</v>
      </c>
      <c r="E46" s="12">
        <f t="shared" si="3"/>
        <v>146417.50345627352</v>
      </c>
      <c r="F46">
        <f t="shared" si="2"/>
        <v>44</v>
      </c>
    </row>
    <row r="47" spans="1:6">
      <c r="A47" s="16">
        <v>45</v>
      </c>
      <c r="B47" s="12">
        <f t="shared" si="4"/>
        <v>146417.50345627352</v>
      </c>
      <c r="C47" s="12">
        <f t="shared" si="0"/>
        <v>17570.100414752822</v>
      </c>
      <c r="D47" s="12">
        <f t="shared" si="1"/>
        <v>0</v>
      </c>
      <c r="E47" s="12">
        <f t="shared" si="3"/>
        <v>163987.60387102634</v>
      </c>
      <c r="F47">
        <f t="shared" si="2"/>
        <v>45</v>
      </c>
    </row>
    <row r="48" spans="1:6">
      <c r="A48" s="16">
        <v>46</v>
      </c>
      <c r="B48" s="12">
        <f t="shared" si="4"/>
        <v>163987.60387102634</v>
      </c>
      <c r="C48" s="12">
        <f t="shared" si="0"/>
        <v>19678.512464523159</v>
      </c>
      <c r="D48" s="12">
        <f t="shared" si="1"/>
        <v>0</v>
      </c>
      <c r="E48" s="12">
        <f t="shared" si="3"/>
        <v>183666.11633554951</v>
      </c>
      <c r="F48">
        <f t="shared" si="2"/>
        <v>46</v>
      </c>
    </row>
    <row r="49" spans="1:6">
      <c r="A49" s="16">
        <v>47</v>
      </c>
      <c r="B49" s="12">
        <f t="shared" si="4"/>
        <v>183666.11633554951</v>
      </c>
      <c r="C49" s="12">
        <f t="shared" si="0"/>
        <v>22039.933960265938</v>
      </c>
      <c r="D49" s="12">
        <f t="shared" si="1"/>
        <v>0</v>
      </c>
      <c r="E49" s="12">
        <f t="shared" si="3"/>
        <v>205706.05029581545</v>
      </c>
      <c r="F49">
        <f t="shared" si="2"/>
        <v>47</v>
      </c>
    </row>
    <row r="50" spans="1:6">
      <c r="A50" s="16">
        <v>48</v>
      </c>
      <c r="B50" s="12">
        <f t="shared" si="4"/>
        <v>205706.05029581545</v>
      </c>
      <c r="C50" s="12">
        <f t="shared" si="0"/>
        <v>24684.726035497853</v>
      </c>
      <c r="D50" s="12">
        <f t="shared" si="1"/>
        <v>0</v>
      </c>
      <c r="E50" s="12">
        <f t="shared" si="3"/>
        <v>230390.7763313133</v>
      </c>
      <c r="F50">
        <f t="shared" si="2"/>
        <v>48</v>
      </c>
    </row>
    <row r="51" spans="1:6">
      <c r="A51" s="16">
        <v>49</v>
      </c>
      <c r="B51" s="12">
        <f t="shared" si="4"/>
        <v>230390.7763313133</v>
      </c>
      <c r="C51" s="12">
        <f t="shared" si="0"/>
        <v>27646.893159757594</v>
      </c>
      <c r="D51" s="12">
        <f t="shared" si="1"/>
        <v>0</v>
      </c>
      <c r="E51" s="12">
        <f t="shared" si="3"/>
        <v>258037.6694910709</v>
      </c>
      <c r="F51">
        <f t="shared" si="2"/>
        <v>49</v>
      </c>
    </row>
    <row r="52" spans="1:6">
      <c r="A52" s="16">
        <v>50</v>
      </c>
      <c r="B52" s="12">
        <f t="shared" si="4"/>
        <v>258037.6694910709</v>
      </c>
      <c r="C52" s="12">
        <f t="shared" si="0"/>
        <v>30964.520338928509</v>
      </c>
      <c r="D52" s="12">
        <f t="shared" si="1"/>
        <v>0</v>
      </c>
      <c r="E52" s="12">
        <f t="shared" si="3"/>
        <v>289002.18982999941</v>
      </c>
      <c r="F52">
        <f t="shared" si="2"/>
        <v>50</v>
      </c>
    </row>
    <row r="53" spans="1:6">
      <c r="A53" s="16">
        <v>51</v>
      </c>
      <c r="B53" s="12">
        <f t="shared" si="4"/>
        <v>289002.18982999941</v>
      </c>
      <c r="C53" s="12">
        <f t="shared" si="0"/>
        <v>34680.262779599929</v>
      </c>
      <c r="D53" s="12">
        <f t="shared" si="1"/>
        <v>0</v>
      </c>
      <c r="E53" s="12">
        <f t="shared" si="3"/>
        <v>323682.45260959934</v>
      </c>
      <c r="F53">
        <f t="shared" si="2"/>
        <v>51</v>
      </c>
    </row>
    <row r="54" spans="1:6">
      <c r="A54" s="16">
        <v>52</v>
      </c>
      <c r="B54" s="12">
        <f t="shared" si="4"/>
        <v>323682.45260959934</v>
      </c>
      <c r="C54" s="12">
        <f t="shared" si="0"/>
        <v>38841.894313151919</v>
      </c>
      <c r="D54" s="12">
        <f t="shared" si="1"/>
        <v>0</v>
      </c>
      <c r="E54" s="12">
        <f t="shared" si="3"/>
        <v>362524.34692275128</v>
      </c>
      <c r="F54">
        <f t="shared" si="2"/>
        <v>52</v>
      </c>
    </row>
    <row r="55" spans="1:6">
      <c r="A55" s="16">
        <v>53</v>
      </c>
      <c r="B55" s="12">
        <f t="shared" si="4"/>
        <v>362524.34692275128</v>
      </c>
      <c r="C55" s="12">
        <f t="shared" si="0"/>
        <v>43502.921630730154</v>
      </c>
      <c r="D55" s="12">
        <f t="shared" si="1"/>
        <v>0</v>
      </c>
      <c r="E55" s="12">
        <f t="shared" si="3"/>
        <v>406027.26855348144</v>
      </c>
      <c r="F55">
        <f t="shared" si="2"/>
        <v>53</v>
      </c>
    </row>
    <row r="56" spans="1:6">
      <c r="A56" s="16">
        <v>54</v>
      </c>
      <c r="B56" s="12">
        <f t="shared" si="4"/>
        <v>406027.26855348144</v>
      </c>
      <c r="C56" s="12">
        <f t="shared" si="0"/>
        <v>48723.272226417772</v>
      </c>
      <c r="D56" s="12">
        <f t="shared" si="1"/>
        <v>0</v>
      </c>
      <c r="E56" s="12">
        <f t="shared" si="3"/>
        <v>454750.54077989922</v>
      </c>
      <c r="F56">
        <f t="shared" si="2"/>
        <v>54</v>
      </c>
    </row>
    <row r="57" spans="1:6">
      <c r="A57" s="16">
        <v>55</v>
      </c>
      <c r="B57" s="12">
        <f t="shared" si="4"/>
        <v>454750.54077989922</v>
      </c>
      <c r="C57" s="12">
        <f t="shared" si="0"/>
        <v>54570.064893587907</v>
      </c>
      <c r="D57" s="12">
        <f t="shared" si="1"/>
        <v>0</v>
      </c>
      <c r="E57" s="12">
        <f t="shared" si="3"/>
        <v>509320.60567348712</v>
      </c>
      <c r="F57">
        <f t="shared" si="2"/>
        <v>55</v>
      </c>
    </row>
    <row r="58" spans="1:6">
      <c r="A58" s="16">
        <v>56</v>
      </c>
      <c r="B58" s="12">
        <f t="shared" si="4"/>
        <v>509320.60567348712</v>
      </c>
      <c r="C58" s="12">
        <f t="shared" si="0"/>
        <v>61118.47268081845</v>
      </c>
      <c r="D58" s="12">
        <f t="shared" si="1"/>
        <v>0</v>
      </c>
      <c r="E58" s="12">
        <f t="shared" si="3"/>
        <v>570439.07835430559</v>
      </c>
      <c r="F58">
        <f t="shared" si="2"/>
        <v>56</v>
      </c>
    </row>
    <row r="59" spans="1:6">
      <c r="A59" s="16">
        <v>57</v>
      </c>
      <c r="B59" s="12">
        <f t="shared" si="4"/>
        <v>570439.07835430559</v>
      </c>
      <c r="C59" s="12">
        <f t="shared" si="0"/>
        <v>68452.689402516669</v>
      </c>
      <c r="D59" s="12">
        <f t="shared" si="1"/>
        <v>0</v>
      </c>
      <c r="E59" s="12">
        <f t="shared" si="3"/>
        <v>638891.76775682229</v>
      </c>
      <c r="F59">
        <f t="shared" si="2"/>
        <v>57</v>
      </c>
    </row>
    <row r="60" spans="1:6">
      <c r="A60" s="16">
        <v>58</v>
      </c>
      <c r="B60" s="12">
        <f t="shared" si="4"/>
        <v>638891.76775682229</v>
      </c>
      <c r="C60" s="12">
        <f t="shared" si="0"/>
        <v>76667.012130818664</v>
      </c>
      <c r="D60" s="12">
        <f t="shared" si="1"/>
        <v>0</v>
      </c>
      <c r="E60" s="12">
        <f t="shared" si="3"/>
        <v>715558.77988764097</v>
      </c>
      <c r="F60">
        <f t="shared" si="2"/>
        <v>58</v>
      </c>
    </row>
    <row r="61" spans="1:6">
      <c r="A61" s="16">
        <v>59</v>
      </c>
      <c r="B61" s="12">
        <f t="shared" si="4"/>
        <v>715558.77988764097</v>
      </c>
      <c r="C61" s="12">
        <f t="shared" si="0"/>
        <v>85867.053586516908</v>
      </c>
      <c r="D61" s="12">
        <f t="shared" si="1"/>
        <v>0</v>
      </c>
      <c r="E61" s="12">
        <f t="shared" si="3"/>
        <v>801425.83347415784</v>
      </c>
      <c r="F61">
        <f t="shared" si="2"/>
        <v>59</v>
      </c>
    </row>
    <row r="62" spans="1:6">
      <c r="A62" s="16">
        <v>60</v>
      </c>
      <c r="B62" s="12">
        <f t="shared" si="4"/>
        <v>801425.83347415784</v>
      </c>
      <c r="C62" s="12">
        <f t="shared" si="0"/>
        <v>96171.100016898941</v>
      </c>
      <c r="D62" s="12">
        <f t="shared" si="1"/>
        <v>0</v>
      </c>
      <c r="E62" s="12">
        <f t="shared" si="3"/>
        <v>897596.93349105678</v>
      </c>
      <c r="F62">
        <f t="shared" si="2"/>
        <v>60</v>
      </c>
    </row>
    <row r="63" spans="1:6">
      <c r="A63" s="16">
        <v>61</v>
      </c>
      <c r="B63" s="12">
        <f t="shared" si="4"/>
        <v>897596.93349105678</v>
      </c>
      <c r="C63" s="12">
        <f t="shared" si="0"/>
        <v>107711.63201892682</v>
      </c>
      <c r="D63" s="12">
        <f t="shared" si="1"/>
        <v>0</v>
      </c>
      <c r="E63" s="12">
        <f t="shared" si="3"/>
        <v>1005308.5655099836</v>
      </c>
    </row>
    <row r="64" spans="1:6">
      <c r="A64" s="16">
        <v>62</v>
      </c>
      <c r="B64" s="12">
        <f t="shared" si="4"/>
        <v>1005308.5655099836</v>
      </c>
      <c r="C64" s="12">
        <f t="shared" si="0"/>
        <v>120637.02786119802</v>
      </c>
      <c r="D64" s="12">
        <f t="shared" si="1"/>
        <v>0</v>
      </c>
      <c r="E64" s="12">
        <f t="shared" si="3"/>
        <v>1125945.5933711815</v>
      </c>
    </row>
    <row r="65" spans="1:5">
      <c r="A65" s="16">
        <v>63</v>
      </c>
      <c r="B65" s="12">
        <f t="shared" si="4"/>
        <v>1125945.5933711815</v>
      </c>
      <c r="C65" s="12">
        <f t="shared" si="0"/>
        <v>135113.47120454177</v>
      </c>
      <c r="D65" s="12">
        <f t="shared" si="1"/>
        <v>0</v>
      </c>
      <c r="E65" s="12">
        <f t="shared" si="3"/>
        <v>1261059.0645757234</v>
      </c>
    </row>
    <row r="66" spans="1:5">
      <c r="A66" s="16">
        <v>64</v>
      </c>
      <c r="B66" s="12">
        <f t="shared" si="4"/>
        <v>1261059.0645757234</v>
      </c>
      <c r="C66" s="12">
        <f t="shared" si="0"/>
        <v>151327.08774908679</v>
      </c>
      <c r="D66" s="12">
        <f t="shared" si="1"/>
        <v>0</v>
      </c>
      <c r="E66" s="12">
        <f t="shared" si="3"/>
        <v>1412386.1523248102</v>
      </c>
    </row>
    <row r="67" spans="1:5">
      <c r="A67" s="16">
        <v>65</v>
      </c>
      <c r="B67" s="12">
        <f t="shared" si="4"/>
        <v>1412386.1523248102</v>
      </c>
      <c r="C67" s="12">
        <f t="shared" ref="C67:C71" si="5">B67*$I$5</f>
        <v>169486.3382789772</v>
      </c>
      <c r="D67" s="12">
        <f t="shared" ref="D67:D123" si="6">IF(C67&lt;($I$6+$I$7),0,$I$6)</f>
        <v>0</v>
      </c>
      <c r="E67" s="12">
        <f t="shared" si="3"/>
        <v>1581872.4906037874</v>
      </c>
    </row>
    <row r="68" spans="1:5">
      <c r="A68" s="16">
        <v>66</v>
      </c>
      <c r="B68" s="12">
        <f t="shared" si="4"/>
        <v>1581872.4906037874</v>
      </c>
      <c r="C68" s="12">
        <f t="shared" si="5"/>
        <v>189824.69887245446</v>
      </c>
      <c r="D68" s="12">
        <f t="shared" si="6"/>
        <v>0</v>
      </c>
      <c r="E68" s="12">
        <f t="shared" ref="E68:E123" si="7">B68+C68-D68</f>
        <v>1771697.1894762418</v>
      </c>
    </row>
    <row r="69" spans="1:5">
      <c r="A69" s="16">
        <v>67</v>
      </c>
      <c r="B69" s="12">
        <f t="shared" ref="B69:B123" si="8">E68</f>
        <v>1771697.1894762418</v>
      </c>
      <c r="C69" s="12">
        <f t="shared" si="5"/>
        <v>212603.66273714902</v>
      </c>
      <c r="D69" s="12">
        <f t="shared" si="6"/>
        <v>0</v>
      </c>
      <c r="E69" s="12">
        <f t="shared" si="7"/>
        <v>1984300.8522133909</v>
      </c>
    </row>
    <row r="70" spans="1:5">
      <c r="A70" s="16">
        <v>68</v>
      </c>
      <c r="B70" s="12">
        <f t="shared" si="8"/>
        <v>1984300.8522133909</v>
      </c>
      <c r="C70" s="12">
        <f t="shared" si="5"/>
        <v>238116.1022656069</v>
      </c>
      <c r="D70" s="12">
        <f t="shared" si="6"/>
        <v>0</v>
      </c>
      <c r="E70" s="12">
        <f t="shared" si="7"/>
        <v>2222416.9544789977</v>
      </c>
    </row>
    <row r="71" spans="1:5">
      <c r="A71" s="16">
        <v>69</v>
      </c>
      <c r="B71" s="12">
        <f t="shared" si="8"/>
        <v>2222416.9544789977</v>
      </c>
      <c r="C71" s="12">
        <f t="shared" si="5"/>
        <v>266690.03453747975</v>
      </c>
      <c r="D71" s="12">
        <f t="shared" si="6"/>
        <v>0</v>
      </c>
      <c r="E71" s="12">
        <f t="shared" si="7"/>
        <v>2489106.9890164775</v>
      </c>
    </row>
    <row r="72" spans="1:5">
      <c r="A72" s="16">
        <v>70</v>
      </c>
      <c r="B72" s="12">
        <f t="shared" si="8"/>
        <v>2489106.9890164775</v>
      </c>
      <c r="C72" s="12">
        <f>B72*$I$5</f>
        <v>298692.8386819773</v>
      </c>
      <c r="D72" s="12">
        <f>IF(C72&lt;($I$6+$I$7),0,$I$6)</f>
        <v>0</v>
      </c>
      <c r="E72" s="12">
        <f>B72+C72-D72</f>
        <v>2787799.8276984547</v>
      </c>
    </row>
    <row r="73" spans="1:5">
      <c r="A73" s="16">
        <v>71</v>
      </c>
      <c r="B73" s="12">
        <f t="shared" si="8"/>
        <v>2787799.8276984547</v>
      </c>
      <c r="C73" s="12">
        <f t="shared" ref="C73:C123" si="9">B73*$I$5</f>
        <v>334535.97932381456</v>
      </c>
      <c r="D73" s="12">
        <f t="shared" si="6"/>
        <v>0</v>
      </c>
      <c r="E73" s="12">
        <f t="shared" si="7"/>
        <v>3122335.8070222693</v>
      </c>
    </row>
    <row r="74" spans="1:5">
      <c r="A74" s="16">
        <v>72</v>
      </c>
      <c r="B74" s="12">
        <f t="shared" si="8"/>
        <v>3122335.8070222693</v>
      </c>
      <c r="C74" s="12">
        <f t="shared" si="9"/>
        <v>374680.29684267228</v>
      </c>
      <c r="D74" s="12">
        <f t="shared" si="6"/>
        <v>0</v>
      </c>
      <c r="E74" s="12">
        <f t="shared" si="7"/>
        <v>3497016.1038649417</v>
      </c>
    </row>
    <row r="75" spans="1:5">
      <c r="A75" s="16">
        <v>73</v>
      </c>
      <c r="B75" s="12">
        <f t="shared" si="8"/>
        <v>3497016.1038649417</v>
      </c>
      <c r="C75" s="12">
        <f t="shared" si="9"/>
        <v>419641.93246379297</v>
      </c>
      <c r="D75" s="12">
        <f t="shared" si="6"/>
        <v>0</v>
      </c>
      <c r="E75" s="12">
        <f t="shared" si="7"/>
        <v>3916658.0363287348</v>
      </c>
    </row>
    <row r="76" spans="1:5">
      <c r="A76" s="16">
        <v>74</v>
      </c>
      <c r="B76" s="12">
        <f t="shared" si="8"/>
        <v>3916658.0363287348</v>
      </c>
      <c r="C76" s="12">
        <f t="shared" si="9"/>
        <v>469998.96435944817</v>
      </c>
      <c r="D76" s="12">
        <f t="shared" si="6"/>
        <v>0</v>
      </c>
      <c r="E76" s="12">
        <f t="shared" si="7"/>
        <v>4386657.0006881831</v>
      </c>
    </row>
    <row r="77" spans="1:5">
      <c r="A77" s="16">
        <v>75</v>
      </c>
      <c r="B77" s="12">
        <f t="shared" si="8"/>
        <v>4386657.0006881831</v>
      </c>
      <c r="C77" s="12">
        <f t="shared" si="9"/>
        <v>526398.84008258197</v>
      </c>
      <c r="D77" s="12">
        <f t="shared" si="6"/>
        <v>0</v>
      </c>
      <c r="E77" s="12">
        <f t="shared" si="7"/>
        <v>4913055.8407707652</v>
      </c>
    </row>
    <row r="78" spans="1:5">
      <c r="A78" s="16">
        <v>76</v>
      </c>
      <c r="B78" s="12">
        <f t="shared" si="8"/>
        <v>4913055.8407707652</v>
      </c>
      <c r="C78" s="12">
        <f t="shared" si="9"/>
        <v>589566.70089249185</v>
      </c>
      <c r="D78" s="12">
        <f t="shared" si="6"/>
        <v>0</v>
      </c>
      <c r="E78" s="12">
        <f t="shared" si="7"/>
        <v>5502622.5416632574</v>
      </c>
    </row>
    <row r="79" spans="1:5">
      <c r="A79" s="16">
        <v>77</v>
      </c>
      <c r="B79" s="12">
        <f t="shared" si="8"/>
        <v>5502622.5416632574</v>
      </c>
      <c r="C79" s="12">
        <f t="shared" si="9"/>
        <v>660314.70499959087</v>
      </c>
      <c r="D79" s="12">
        <f>IF(C79&lt;($I$6+$I$7),0,$I$6)</f>
        <v>0</v>
      </c>
      <c r="E79" s="12">
        <f>B79+C79-D79</f>
        <v>6162937.2466628486</v>
      </c>
    </row>
    <row r="80" spans="1:5">
      <c r="A80" s="16">
        <v>78</v>
      </c>
      <c r="B80" s="12">
        <f t="shared" si="8"/>
        <v>6162937.2466628486</v>
      </c>
      <c r="C80" s="12">
        <f t="shared" si="9"/>
        <v>739552.46959954186</v>
      </c>
      <c r="D80" s="12">
        <f t="shared" si="6"/>
        <v>0</v>
      </c>
      <c r="E80" s="12">
        <f t="shared" si="7"/>
        <v>6902489.7162623908</v>
      </c>
    </row>
    <row r="81" spans="1:5">
      <c r="A81" s="16">
        <v>79</v>
      </c>
      <c r="B81" s="12">
        <f t="shared" si="8"/>
        <v>6902489.7162623908</v>
      </c>
      <c r="C81" s="12">
        <f t="shared" si="9"/>
        <v>828298.76595148689</v>
      </c>
      <c r="D81" s="12">
        <f t="shared" si="6"/>
        <v>0</v>
      </c>
      <c r="E81" s="12">
        <f t="shared" si="7"/>
        <v>7730788.4822138781</v>
      </c>
    </row>
    <row r="82" spans="1:5">
      <c r="A82" s="16">
        <v>80</v>
      </c>
      <c r="B82" s="12">
        <f t="shared" si="8"/>
        <v>7730788.4822138781</v>
      </c>
      <c r="C82" s="12">
        <f t="shared" si="9"/>
        <v>927694.61786566535</v>
      </c>
      <c r="D82" s="12">
        <f t="shared" si="6"/>
        <v>0</v>
      </c>
      <c r="E82" s="12">
        <f t="shared" si="7"/>
        <v>8658483.1000795439</v>
      </c>
    </row>
    <row r="83" spans="1:5">
      <c r="A83" s="16">
        <v>81</v>
      </c>
      <c r="B83" s="12">
        <f t="shared" si="8"/>
        <v>8658483.1000795439</v>
      </c>
      <c r="C83" s="12">
        <f t="shared" si="9"/>
        <v>1039017.9720095452</v>
      </c>
      <c r="D83" s="12">
        <f t="shared" si="6"/>
        <v>0</v>
      </c>
      <c r="E83" s="12">
        <f t="shared" si="7"/>
        <v>9697501.0720890891</v>
      </c>
    </row>
    <row r="84" spans="1:5">
      <c r="A84" s="16">
        <v>82</v>
      </c>
      <c r="B84" s="12">
        <f t="shared" si="8"/>
        <v>9697501.0720890891</v>
      </c>
      <c r="C84" s="12">
        <f t="shared" si="9"/>
        <v>1163700.1286506907</v>
      </c>
      <c r="D84" s="12">
        <f t="shared" si="6"/>
        <v>0</v>
      </c>
      <c r="E84" s="12">
        <f t="shared" si="7"/>
        <v>10861201.20073978</v>
      </c>
    </row>
    <row r="85" spans="1:5">
      <c r="A85" s="16">
        <v>82</v>
      </c>
      <c r="B85" s="12">
        <f t="shared" si="8"/>
        <v>10861201.20073978</v>
      </c>
      <c r="C85" s="12">
        <f t="shared" si="9"/>
        <v>1303344.1440887735</v>
      </c>
      <c r="D85" s="12">
        <f t="shared" si="6"/>
        <v>0</v>
      </c>
      <c r="E85" s="12">
        <f t="shared" si="7"/>
        <v>12164545.344828553</v>
      </c>
    </row>
    <row r="86" spans="1:5">
      <c r="A86" s="16">
        <v>83</v>
      </c>
      <c r="B86" s="12">
        <f t="shared" si="8"/>
        <v>12164545.344828553</v>
      </c>
      <c r="C86" s="12">
        <f t="shared" si="9"/>
        <v>1459745.4413794263</v>
      </c>
      <c r="D86" s="12">
        <f t="shared" si="6"/>
        <v>0</v>
      </c>
      <c r="E86" s="12">
        <f t="shared" si="7"/>
        <v>13624290.78620798</v>
      </c>
    </row>
    <row r="87" spans="1:5">
      <c r="A87" s="16">
        <v>84</v>
      </c>
      <c r="B87" s="12">
        <f t="shared" si="8"/>
        <v>13624290.78620798</v>
      </c>
      <c r="C87" s="12">
        <f t="shared" si="9"/>
        <v>1634914.8943449575</v>
      </c>
      <c r="D87" s="12">
        <f t="shared" si="6"/>
        <v>0</v>
      </c>
      <c r="E87" s="12">
        <f t="shared" si="7"/>
        <v>15259205.680552937</v>
      </c>
    </row>
    <row r="88" spans="1:5">
      <c r="A88" s="16">
        <v>85</v>
      </c>
      <c r="B88" s="12">
        <f t="shared" si="8"/>
        <v>15259205.680552937</v>
      </c>
      <c r="C88" s="12">
        <f t="shared" si="9"/>
        <v>1831104.6816663523</v>
      </c>
      <c r="D88" s="12">
        <f t="shared" si="6"/>
        <v>0</v>
      </c>
      <c r="E88" s="12">
        <f t="shared" si="7"/>
        <v>17090310.362219289</v>
      </c>
    </row>
    <row r="89" spans="1:5">
      <c r="A89" s="16">
        <v>86</v>
      </c>
      <c r="B89" s="12">
        <f t="shared" si="8"/>
        <v>17090310.362219289</v>
      </c>
      <c r="C89" s="12">
        <f t="shared" si="9"/>
        <v>2050837.2434663146</v>
      </c>
      <c r="D89" s="12">
        <f t="shared" si="6"/>
        <v>0</v>
      </c>
      <c r="E89" s="12">
        <f t="shared" si="7"/>
        <v>19141147.605685603</v>
      </c>
    </row>
    <row r="90" spans="1:5">
      <c r="A90" s="16">
        <v>87</v>
      </c>
      <c r="B90" s="12">
        <f t="shared" si="8"/>
        <v>19141147.605685603</v>
      </c>
      <c r="C90" s="12">
        <f t="shared" si="9"/>
        <v>2296937.7126822723</v>
      </c>
      <c r="D90" s="12">
        <f t="shared" si="6"/>
        <v>0</v>
      </c>
      <c r="E90" s="12">
        <f t="shared" si="7"/>
        <v>21438085.318367876</v>
      </c>
    </row>
    <row r="91" spans="1:5">
      <c r="A91" s="16">
        <v>88</v>
      </c>
      <c r="B91" s="12">
        <f t="shared" si="8"/>
        <v>21438085.318367876</v>
      </c>
      <c r="C91" s="12">
        <f t="shared" si="9"/>
        <v>2572570.2382041449</v>
      </c>
      <c r="D91" s="12">
        <f t="shared" si="6"/>
        <v>0</v>
      </c>
      <c r="E91" s="12">
        <f t="shared" si="7"/>
        <v>24010655.55657202</v>
      </c>
    </row>
    <row r="92" spans="1:5">
      <c r="A92" s="16">
        <v>89</v>
      </c>
      <c r="B92" s="12">
        <f t="shared" si="8"/>
        <v>24010655.55657202</v>
      </c>
      <c r="C92" s="12">
        <f t="shared" si="9"/>
        <v>2881278.6667886423</v>
      </c>
      <c r="D92" s="12">
        <f t="shared" si="6"/>
        <v>0</v>
      </c>
      <c r="E92" s="12">
        <f t="shared" si="7"/>
        <v>26891934.223360661</v>
      </c>
    </row>
    <row r="93" spans="1:5">
      <c r="A93" s="16">
        <v>90</v>
      </c>
      <c r="B93" s="12">
        <f t="shared" si="8"/>
        <v>26891934.223360661</v>
      </c>
      <c r="C93" s="12">
        <f t="shared" si="9"/>
        <v>3227032.1068032794</v>
      </c>
      <c r="D93" s="12">
        <f t="shared" si="6"/>
        <v>0</v>
      </c>
      <c r="E93" s="12">
        <f t="shared" si="7"/>
        <v>30118966.330163941</v>
      </c>
    </row>
    <row r="94" spans="1:5">
      <c r="A94" s="16">
        <v>91</v>
      </c>
      <c r="B94" s="12">
        <f t="shared" si="8"/>
        <v>30118966.330163941</v>
      </c>
      <c r="C94" s="12">
        <f t="shared" si="9"/>
        <v>3614275.959619673</v>
      </c>
      <c r="D94" s="12">
        <f t="shared" si="6"/>
        <v>0</v>
      </c>
      <c r="E94" s="12">
        <f t="shared" si="7"/>
        <v>33733242.289783612</v>
      </c>
    </row>
    <row r="95" spans="1:5">
      <c r="A95" s="16">
        <v>92</v>
      </c>
      <c r="B95" s="12">
        <f t="shared" si="8"/>
        <v>33733242.289783612</v>
      </c>
      <c r="C95" s="12">
        <f t="shared" si="9"/>
        <v>4047989.0747740334</v>
      </c>
      <c r="D95" s="12">
        <f t="shared" si="6"/>
        <v>0</v>
      </c>
      <c r="E95" s="12">
        <f t="shared" si="7"/>
        <v>37781231.364557646</v>
      </c>
    </row>
    <row r="96" spans="1:5">
      <c r="A96" s="16">
        <v>93</v>
      </c>
      <c r="B96" s="12">
        <f t="shared" si="8"/>
        <v>37781231.364557646</v>
      </c>
      <c r="C96" s="12">
        <f t="shared" si="9"/>
        <v>4533747.7637469172</v>
      </c>
      <c r="D96" s="12">
        <f t="shared" si="6"/>
        <v>0</v>
      </c>
      <c r="E96" s="12">
        <f t="shared" si="7"/>
        <v>42314979.128304563</v>
      </c>
    </row>
    <row r="97" spans="1:5">
      <c r="A97" s="16">
        <v>94</v>
      </c>
      <c r="B97" s="12">
        <f t="shared" si="8"/>
        <v>42314979.128304563</v>
      </c>
      <c r="C97" s="12">
        <f t="shared" si="9"/>
        <v>5077797.495396547</v>
      </c>
      <c r="D97" s="12">
        <f t="shared" si="6"/>
        <v>0</v>
      </c>
      <c r="E97" s="12">
        <f t="shared" si="7"/>
        <v>47392776.62370111</v>
      </c>
    </row>
    <row r="98" spans="1:5">
      <c r="A98" s="16">
        <v>95</v>
      </c>
      <c r="B98" s="12">
        <f t="shared" si="8"/>
        <v>47392776.62370111</v>
      </c>
      <c r="C98" s="12">
        <f t="shared" si="9"/>
        <v>5687133.1948441332</v>
      </c>
      <c r="D98" s="12">
        <f t="shared" si="6"/>
        <v>0</v>
      </c>
      <c r="E98" s="12">
        <f t="shared" si="7"/>
        <v>53079909.818545245</v>
      </c>
    </row>
    <row r="99" spans="1:5">
      <c r="A99" s="16">
        <v>96</v>
      </c>
      <c r="B99" s="12">
        <f t="shared" si="8"/>
        <v>53079909.818545245</v>
      </c>
      <c r="C99" s="12">
        <f t="shared" si="9"/>
        <v>6369589.1782254288</v>
      </c>
      <c r="D99" s="12">
        <f t="shared" si="6"/>
        <v>0</v>
      </c>
      <c r="E99" s="12">
        <f t="shared" si="7"/>
        <v>59449498.996770673</v>
      </c>
    </row>
    <row r="100" spans="1:5">
      <c r="A100" s="16">
        <v>97</v>
      </c>
      <c r="B100" s="12">
        <f t="shared" si="8"/>
        <v>59449498.996770673</v>
      </c>
      <c r="C100" s="12">
        <f t="shared" si="9"/>
        <v>7133939.8796124803</v>
      </c>
      <c r="D100" s="12">
        <f t="shared" si="6"/>
        <v>0</v>
      </c>
      <c r="E100" s="12">
        <f t="shared" si="7"/>
        <v>66583438.876383156</v>
      </c>
    </row>
    <row r="101" spans="1:5">
      <c r="A101" s="16">
        <v>98</v>
      </c>
      <c r="B101" s="12">
        <f t="shared" si="8"/>
        <v>66583438.876383156</v>
      </c>
      <c r="C101" s="12">
        <f t="shared" si="9"/>
        <v>7990012.6651659785</v>
      </c>
      <c r="D101" s="12">
        <f t="shared" si="6"/>
        <v>0</v>
      </c>
      <c r="E101" s="12">
        <f t="shared" si="7"/>
        <v>74573451.541549131</v>
      </c>
    </row>
    <row r="102" spans="1:5">
      <c r="A102" s="16">
        <v>99</v>
      </c>
      <c r="B102" s="12">
        <f t="shared" si="8"/>
        <v>74573451.541549131</v>
      </c>
      <c r="C102" s="12">
        <f t="shared" si="9"/>
        <v>8948814.1849858947</v>
      </c>
      <c r="D102" s="12">
        <f t="shared" si="6"/>
        <v>0</v>
      </c>
      <c r="E102" s="12">
        <f t="shared" si="7"/>
        <v>83522265.726535022</v>
      </c>
    </row>
    <row r="103" spans="1:5">
      <c r="A103" s="16">
        <v>100</v>
      </c>
      <c r="B103" s="12">
        <f t="shared" si="8"/>
        <v>83522265.726535022</v>
      </c>
      <c r="C103" s="12">
        <f t="shared" si="9"/>
        <v>10022671.887184203</v>
      </c>
      <c r="D103" s="12">
        <f t="shared" si="6"/>
        <v>0</v>
      </c>
      <c r="E103" s="12">
        <f t="shared" si="7"/>
        <v>93544937.613719225</v>
      </c>
    </row>
    <row r="104" spans="1:5">
      <c r="A104" s="16">
        <v>101</v>
      </c>
      <c r="B104" s="12">
        <f t="shared" si="8"/>
        <v>93544937.613719225</v>
      </c>
      <c r="C104" s="12">
        <f t="shared" si="9"/>
        <v>11225392.513646306</v>
      </c>
      <c r="D104" s="12">
        <f t="shared" si="6"/>
        <v>0</v>
      </c>
      <c r="E104" s="12">
        <f t="shared" si="7"/>
        <v>104770330.12736553</v>
      </c>
    </row>
    <row r="105" spans="1:5">
      <c r="A105" s="16">
        <v>102</v>
      </c>
      <c r="B105" s="12">
        <f t="shared" si="8"/>
        <v>104770330.12736553</v>
      </c>
      <c r="C105" s="12">
        <f t="shared" si="9"/>
        <v>12572439.615283864</v>
      </c>
      <c r="D105" s="12">
        <f t="shared" si="6"/>
        <v>0</v>
      </c>
      <c r="E105" s="12">
        <f t="shared" si="7"/>
        <v>117342769.74264939</v>
      </c>
    </row>
    <row r="106" spans="1:5">
      <c r="A106" s="16">
        <v>103</v>
      </c>
      <c r="B106" s="12">
        <f t="shared" si="8"/>
        <v>117342769.74264939</v>
      </c>
      <c r="C106" s="12">
        <f t="shared" si="9"/>
        <v>14081132.369117927</v>
      </c>
      <c r="D106" s="12">
        <f t="shared" si="6"/>
        <v>0</v>
      </c>
      <c r="E106" s="12">
        <f t="shared" si="7"/>
        <v>131423902.11176732</v>
      </c>
    </row>
    <row r="107" spans="1:5">
      <c r="A107" s="16">
        <v>104</v>
      </c>
      <c r="B107" s="12">
        <f t="shared" si="8"/>
        <v>131423902.11176732</v>
      </c>
      <c r="C107" s="12">
        <f t="shared" si="9"/>
        <v>15770868.253412077</v>
      </c>
      <c r="D107" s="12">
        <f t="shared" si="6"/>
        <v>0</v>
      </c>
      <c r="E107" s="12">
        <f t="shared" si="7"/>
        <v>147194770.36517939</v>
      </c>
    </row>
    <row r="108" spans="1:5">
      <c r="A108" s="16">
        <v>105</v>
      </c>
      <c r="B108" s="12">
        <f t="shared" si="8"/>
        <v>147194770.36517939</v>
      </c>
      <c r="C108" s="12">
        <f t="shared" si="9"/>
        <v>17663372.443821527</v>
      </c>
      <c r="D108" s="12">
        <f t="shared" si="6"/>
        <v>0</v>
      </c>
      <c r="E108" s="12">
        <f t="shared" si="7"/>
        <v>164858142.80900091</v>
      </c>
    </row>
    <row r="109" spans="1:5">
      <c r="A109" s="16">
        <v>106</v>
      </c>
      <c r="B109" s="12">
        <f t="shared" si="8"/>
        <v>164858142.80900091</v>
      </c>
      <c r="C109" s="12">
        <f t="shared" si="9"/>
        <v>19782977.137080107</v>
      </c>
      <c r="D109" s="12">
        <f t="shared" si="6"/>
        <v>0</v>
      </c>
      <c r="E109" s="12">
        <f t="shared" si="7"/>
        <v>184641119.94608101</v>
      </c>
    </row>
    <row r="110" spans="1:5">
      <c r="A110" s="16">
        <v>107</v>
      </c>
      <c r="B110" s="12">
        <f t="shared" si="8"/>
        <v>184641119.94608101</v>
      </c>
      <c r="C110" s="12">
        <f t="shared" si="9"/>
        <v>22156934.393529721</v>
      </c>
      <c r="D110" s="12">
        <f t="shared" si="6"/>
        <v>0</v>
      </c>
      <c r="E110" s="12">
        <f t="shared" si="7"/>
        <v>206798054.33961073</v>
      </c>
    </row>
    <row r="111" spans="1:5">
      <c r="A111" s="16">
        <v>108</v>
      </c>
      <c r="B111" s="12">
        <f t="shared" si="8"/>
        <v>206798054.33961073</v>
      </c>
      <c r="C111" s="12">
        <f t="shared" si="9"/>
        <v>24815766.520753287</v>
      </c>
      <c r="D111" s="12">
        <f t="shared" si="6"/>
        <v>0</v>
      </c>
      <c r="E111" s="12">
        <f t="shared" si="7"/>
        <v>231613820.86036402</v>
      </c>
    </row>
    <row r="112" spans="1:5">
      <c r="A112" s="16">
        <v>109</v>
      </c>
      <c r="B112" s="12">
        <f t="shared" si="8"/>
        <v>231613820.86036402</v>
      </c>
      <c r="C112" s="12">
        <f t="shared" si="9"/>
        <v>27793658.503243681</v>
      </c>
      <c r="D112" s="12">
        <f t="shared" si="6"/>
        <v>0</v>
      </c>
      <c r="E112" s="12">
        <f t="shared" si="7"/>
        <v>259407479.3636077</v>
      </c>
    </row>
    <row r="113" spans="1:5">
      <c r="A113" s="16">
        <v>110</v>
      </c>
      <c r="B113" s="12">
        <f t="shared" si="8"/>
        <v>259407479.3636077</v>
      </c>
      <c r="C113" s="12">
        <f t="shared" si="9"/>
        <v>31128897.523632925</v>
      </c>
      <c r="D113" s="12">
        <f t="shared" si="6"/>
        <v>0</v>
      </c>
      <c r="E113" s="12">
        <f t="shared" si="7"/>
        <v>290536376.88724065</v>
      </c>
    </row>
    <row r="114" spans="1:5">
      <c r="A114" s="16">
        <v>111</v>
      </c>
      <c r="B114" s="12">
        <f t="shared" si="8"/>
        <v>290536376.88724065</v>
      </c>
      <c r="C114" s="12">
        <f t="shared" si="9"/>
        <v>34864365.226468876</v>
      </c>
      <c r="D114" s="12">
        <f t="shared" si="6"/>
        <v>0</v>
      </c>
      <c r="E114" s="12">
        <f t="shared" si="7"/>
        <v>325400742.11370951</v>
      </c>
    </row>
    <row r="115" spans="1:5">
      <c r="A115" s="16">
        <v>112</v>
      </c>
      <c r="B115" s="12">
        <f t="shared" si="8"/>
        <v>325400742.11370951</v>
      </c>
      <c r="C115" s="12">
        <f t="shared" si="9"/>
        <v>39048089.053645141</v>
      </c>
      <c r="D115" s="12">
        <f t="shared" si="6"/>
        <v>0</v>
      </c>
      <c r="E115" s="12">
        <f t="shared" si="7"/>
        <v>364448831.16735464</v>
      </c>
    </row>
    <row r="116" spans="1:5">
      <c r="A116" s="16">
        <v>113</v>
      </c>
      <c r="B116" s="12">
        <f t="shared" si="8"/>
        <v>364448831.16735464</v>
      </c>
      <c r="C116" s="12">
        <f t="shared" si="9"/>
        <v>43733859.740082555</v>
      </c>
      <c r="D116" s="12">
        <f t="shared" si="6"/>
        <v>0</v>
      </c>
      <c r="E116" s="12">
        <f t="shared" si="7"/>
        <v>408182690.90743721</v>
      </c>
    </row>
    <row r="117" spans="1:5">
      <c r="A117" s="16">
        <v>114</v>
      </c>
      <c r="B117" s="12">
        <f t="shared" si="8"/>
        <v>408182690.90743721</v>
      </c>
      <c r="C117" s="12">
        <f t="shared" si="9"/>
        <v>48981922.90889246</v>
      </c>
      <c r="D117" s="12">
        <f t="shared" si="6"/>
        <v>0</v>
      </c>
      <c r="E117" s="12">
        <f t="shared" si="7"/>
        <v>457164613.81632966</v>
      </c>
    </row>
    <row r="118" spans="1:5">
      <c r="A118" s="16">
        <v>115</v>
      </c>
      <c r="B118" s="12">
        <f t="shared" si="8"/>
        <v>457164613.81632966</v>
      </c>
      <c r="C118" s="12">
        <f t="shared" si="9"/>
        <v>54859753.657959558</v>
      </c>
      <c r="D118" s="12">
        <f t="shared" si="6"/>
        <v>0</v>
      </c>
      <c r="E118" s="12">
        <f t="shared" si="7"/>
        <v>512024367.47428924</v>
      </c>
    </row>
    <row r="119" spans="1:5">
      <c r="A119" s="16">
        <v>116</v>
      </c>
      <c r="B119" s="12">
        <f t="shared" si="8"/>
        <v>512024367.47428924</v>
      </c>
      <c r="C119" s="12">
        <f t="shared" si="9"/>
        <v>61442924.096914709</v>
      </c>
      <c r="D119" s="12">
        <f t="shared" si="6"/>
        <v>0</v>
      </c>
      <c r="E119" s="12">
        <f t="shared" si="7"/>
        <v>573467291.57120395</v>
      </c>
    </row>
    <row r="120" spans="1:5">
      <c r="A120" s="16">
        <v>117</v>
      </c>
      <c r="B120" s="12">
        <f t="shared" si="8"/>
        <v>573467291.57120395</v>
      </c>
      <c r="C120" s="12">
        <f t="shared" si="9"/>
        <v>68816074.988544464</v>
      </c>
      <c r="D120" s="12">
        <f t="shared" si="6"/>
        <v>0</v>
      </c>
      <c r="E120" s="12">
        <f t="shared" si="7"/>
        <v>642283366.55974841</v>
      </c>
    </row>
    <row r="121" spans="1:5">
      <c r="A121" s="16">
        <v>118</v>
      </c>
      <c r="B121" s="12">
        <f t="shared" si="8"/>
        <v>642283366.55974841</v>
      </c>
      <c r="C121" s="12">
        <f t="shared" si="9"/>
        <v>77074003.987169802</v>
      </c>
      <c r="D121" s="12">
        <f t="shared" si="6"/>
        <v>0</v>
      </c>
      <c r="E121" s="12">
        <f t="shared" si="7"/>
        <v>719357370.54691815</v>
      </c>
    </row>
    <row r="122" spans="1:5">
      <c r="A122" s="16">
        <v>119</v>
      </c>
      <c r="B122" s="12">
        <f t="shared" si="8"/>
        <v>719357370.54691815</v>
      </c>
      <c r="C122" s="12">
        <f t="shared" si="9"/>
        <v>86322884.465630174</v>
      </c>
      <c r="D122" s="12">
        <f t="shared" si="6"/>
        <v>0</v>
      </c>
      <c r="E122" s="12">
        <f t="shared" si="7"/>
        <v>805680255.01254833</v>
      </c>
    </row>
    <row r="123" spans="1:5">
      <c r="A123" s="16">
        <v>120</v>
      </c>
      <c r="B123" s="12">
        <f t="shared" si="8"/>
        <v>805680255.01254833</v>
      </c>
      <c r="C123" s="12">
        <f t="shared" si="9"/>
        <v>96681630.601505801</v>
      </c>
      <c r="D123" s="12">
        <f t="shared" si="6"/>
        <v>0</v>
      </c>
      <c r="E123" s="12">
        <f t="shared" si="7"/>
        <v>902361885.61405408</v>
      </c>
    </row>
    <row r="124" spans="1:5">
      <c r="A124" s="17"/>
      <c r="B124" s="17"/>
      <c r="C124" s="17"/>
      <c r="D124" s="17"/>
      <c r="E124" s="17"/>
    </row>
    <row r="125" spans="1:5">
      <c r="A125" s="17"/>
      <c r="B125" s="17"/>
      <c r="C125" s="17"/>
      <c r="D125" s="17"/>
      <c r="E125" s="17"/>
    </row>
    <row r="126" spans="1:5">
      <c r="A126" s="17"/>
      <c r="B126" s="17"/>
      <c r="C126" s="17"/>
      <c r="D126" s="17"/>
      <c r="E126" s="17"/>
    </row>
    <row r="127" spans="1:5">
      <c r="A127" s="17"/>
      <c r="B127" s="17"/>
      <c r="C127" s="17"/>
      <c r="D127" s="17"/>
      <c r="E127" s="17"/>
    </row>
    <row r="128" spans="1:5">
      <c r="A128" s="17"/>
      <c r="B128" s="17"/>
      <c r="C128" s="17"/>
      <c r="D128" s="17"/>
      <c r="E128" s="17"/>
    </row>
    <row r="129" spans="1:5">
      <c r="A129" s="17"/>
      <c r="B129" s="17"/>
      <c r="C129" s="17"/>
      <c r="D129" s="17"/>
      <c r="E129" s="17"/>
    </row>
    <row r="130" spans="1:5">
      <c r="A130" s="17"/>
      <c r="B130" s="17"/>
      <c r="C130" s="17"/>
      <c r="D130" s="17"/>
      <c r="E130" s="17"/>
    </row>
    <row r="131" spans="1:5">
      <c r="A131" s="17"/>
      <c r="B131" s="17"/>
      <c r="C131" s="17"/>
      <c r="D131" s="17"/>
      <c r="E131" s="17"/>
    </row>
    <row r="132" spans="1:5">
      <c r="A132" s="17"/>
      <c r="B132" s="17"/>
      <c r="C132" s="17"/>
      <c r="D132" s="17"/>
      <c r="E132" s="17"/>
    </row>
    <row r="133" spans="1:5">
      <c r="A133" s="17"/>
      <c r="B133" s="17"/>
      <c r="C133" s="17"/>
      <c r="D133" s="17"/>
      <c r="E133" s="17"/>
    </row>
    <row r="134" spans="1:5">
      <c r="A134" s="17"/>
      <c r="B134" s="17"/>
      <c r="C134" s="17"/>
      <c r="D134" s="17"/>
      <c r="E134" s="17"/>
    </row>
    <row r="135" spans="1:5">
      <c r="A135" s="17"/>
      <c r="B135" s="17"/>
      <c r="C135" s="17"/>
      <c r="D135" s="17"/>
      <c r="E135" s="17"/>
    </row>
    <row r="136" spans="1:5">
      <c r="A136" s="17"/>
      <c r="B136" s="17"/>
      <c r="C136" s="17"/>
      <c r="D136" s="17"/>
      <c r="E136" s="17"/>
    </row>
    <row r="137" spans="1:5">
      <c r="A137" s="17"/>
      <c r="B137" s="17"/>
      <c r="C137" s="17"/>
      <c r="D137" s="17"/>
      <c r="E137" s="17"/>
    </row>
    <row r="138" spans="1:5">
      <c r="A138" s="17"/>
      <c r="B138" s="17"/>
      <c r="C138" s="17"/>
      <c r="D138" s="17"/>
      <c r="E138" s="17"/>
    </row>
    <row r="139" spans="1:5">
      <c r="A139" s="17"/>
      <c r="B139" s="17"/>
      <c r="C139" s="17"/>
      <c r="D139" s="17"/>
      <c r="E139" s="17"/>
    </row>
    <row r="140" spans="1:5">
      <c r="A140" s="17"/>
      <c r="B140" s="17"/>
      <c r="C140" s="17"/>
      <c r="D140" s="17"/>
      <c r="E140" s="17"/>
    </row>
    <row r="141" spans="1:5">
      <c r="A141" s="17"/>
      <c r="B141" s="17"/>
      <c r="C141" s="17"/>
      <c r="D141" s="17"/>
      <c r="E141" s="17"/>
    </row>
    <row r="142" spans="1:5">
      <c r="A142" s="17"/>
      <c r="B142" s="17"/>
      <c r="C142" s="17"/>
      <c r="D142" s="17"/>
      <c r="E142" s="17"/>
    </row>
    <row r="143" spans="1:5">
      <c r="A143" s="17"/>
      <c r="B143" s="17"/>
      <c r="C143" s="17"/>
      <c r="D143" s="17"/>
      <c r="E143" s="17"/>
    </row>
    <row r="144" spans="1:5">
      <c r="A144" s="17"/>
      <c r="B144" s="17"/>
      <c r="C144" s="17"/>
      <c r="D144" s="17"/>
      <c r="E144" s="17"/>
    </row>
    <row r="145" spans="1:5">
      <c r="A145" s="17"/>
      <c r="B145" s="17"/>
      <c r="C145" s="17"/>
      <c r="D145" s="17"/>
      <c r="E145" s="17"/>
    </row>
    <row r="146" spans="1:5">
      <c r="A146" s="17"/>
      <c r="B146" s="17"/>
      <c r="C146" s="17"/>
      <c r="D146" s="17"/>
      <c r="E146" s="17"/>
    </row>
    <row r="147" spans="1:5">
      <c r="A147" s="17"/>
      <c r="B147" s="17"/>
      <c r="C147" s="17"/>
      <c r="D147" s="17"/>
      <c r="E147" s="17"/>
    </row>
    <row r="148" spans="1:5">
      <c r="A148" s="17"/>
      <c r="B148" s="17"/>
      <c r="C148" s="17"/>
      <c r="D148" s="17"/>
      <c r="E148" s="17"/>
    </row>
    <row r="149" spans="1:5">
      <c r="A149" s="17"/>
      <c r="B149" s="17"/>
      <c r="C149" s="17"/>
      <c r="D149" s="17"/>
      <c r="E149" s="17"/>
    </row>
    <row r="150" spans="1:5">
      <c r="A150" s="17"/>
      <c r="B150" s="17"/>
      <c r="C150" s="17"/>
      <c r="D150" s="17"/>
      <c r="E150" s="17"/>
    </row>
    <row r="151" spans="1:5">
      <c r="A151" s="17"/>
      <c r="B151" s="17"/>
      <c r="C151" s="17"/>
      <c r="D151" s="17"/>
      <c r="E151" s="17"/>
    </row>
    <row r="152" spans="1:5">
      <c r="A152" s="17"/>
      <c r="B152" s="17"/>
      <c r="C152" s="17"/>
      <c r="D152" s="17"/>
      <c r="E152" s="17"/>
    </row>
    <row r="153" spans="1:5">
      <c r="A153" s="17"/>
      <c r="B153" s="17"/>
      <c r="C153" s="17"/>
      <c r="D153" s="17"/>
      <c r="E153" s="17"/>
    </row>
    <row r="154" spans="1:5">
      <c r="A154" s="17"/>
      <c r="B154" s="17"/>
      <c r="C154" s="17"/>
      <c r="D154" s="17"/>
      <c r="E154" s="17"/>
    </row>
    <row r="155" spans="1:5">
      <c r="A155" s="17"/>
      <c r="B155" s="17"/>
      <c r="C155" s="17"/>
      <c r="D155" s="17"/>
      <c r="E155" s="17"/>
    </row>
    <row r="156" spans="1:5">
      <c r="A156" s="17"/>
      <c r="B156" s="17"/>
      <c r="C156" s="17"/>
      <c r="D156" s="17"/>
      <c r="E156" s="17"/>
    </row>
    <row r="157" spans="1:5">
      <c r="A157" s="17"/>
      <c r="B157" s="17"/>
      <c r="C157" s="17"/>
      <c r="D157" s="17"/>
      <c r="E157" s="17"/>
    </row>
    <row r="158" spans="1:5">
      <c r="A158" s="17"/>
      <c r="B158" s="17"/>
      <c r="C158" s="17"/>
      <c r="D158" s="17"/>
      <c r="E158" s="17"/>
    </row>
    <row r="159" spans="1:5">
      <c r="A159" s="17"/>
      <c r="B159" s="17"/>
      <c r="C159" s="17"/>
      <c r="D159" s="17"/>
      <c r="E159" s="17"/>
    </row>
    <row r="160" spans="1:5">
      <c r="A160" s="17"/>
      <c r="B160" s="17"/>
      <c r="C160" s="17"/>
      <c r="D160" s="17"/>
      <c r="E160" s="17"/>
    </row>
    <row r="161" spans="1:5">
      <c r="A161" s="17"/>
      <c r="B161" s="17"/>
      <c r="C161" s="17"/>
      <c r="D161" s="17"/>
      <c r="E161" s="17"/>
    </row>
    <row r="162" spans="1:5">
      <c r="A162" s="17"/>
      <c r="B162" s="17"/>
      <c r="C162" s="17"/>
      <c r="D162" s="17"/>
      <c r="E162" s="17"/>
    </row>
    <row r="163" spans="1:5">
      <c r="A163" s="17"/>
      <c r="B163" s="17"/>
      <c r="C163" s="17"/>
      <c r="D163" s="17"/>
      <c r="E163" s="17"/>
    </row>
    <row r="164" spans="1:5">
      <c r="A164" s="17"/>
      <c r="B164" s="17"/>
      <c r="C164" s="17"/>
      <c r="D164" s="17"/>
      <c r="E164" s="17"/>
    </row>
    <row r="165" spans="1:5">
      <c r="A165" s="17"/>
      <c r="B165" s="17"/>
      <c r="C165" s="17"/>
      <c r="D165" s="17"/>
      <c r="E165" s="17"/>
    </row>
    <row r="166" spans="1:5">
      <c r="A166" s="17"/>
      <c r="B166" s="17"/>
      <c r="C166" s="17"/>
      <c r="D166" s="17"/>
      <c r="E166" s="17"/>
    </row>
    <row r="167" spans="1:5">
      <c r="A167" s="17"/>
      <c r="B167" s="17"/>
      <c r="C167" s="17"/>
      <c r="D167" s="17"/>
      <c r="E167" s="17"/>
    </row>
    <row r="168" spans="1:5">
      <c r="A168" s="17"/>
      <c r="B168" s="17"/>
      <c r="C168" s="17"/>
      <c r="D168" s="17"/>
      <c r="E168" s="17"/>
    </row>
    <row r="169" spans="1:5">
      <c r="A169" s="17"/>
      <c r="B169" s="17"/>
      <c r="C169" s="17"/>
      <c r="D169" s="17"/>
      <c r="E169" s="17"/>
    </row>
    <row r="170" spans="1:5">
      <c r="A170" s="17"/>
      <c r="B170" s="17"/>
      <c r="C170" s="17"/>
      <c r="D170" s="17"/>
      <c r="E170" s="17"/>
    </row>
    <row r="171" spans="1:5">
      <c r="A171" s="17"/>
      <c r="B171" s="17"/>
      <c r="C171" s="17"/>
      <c r="D171" s="17"/>
      <c r="E171" s="17"/>
    </row>
    <row r="172" spans="1:5">
      <c r="A172" s="17"/>
      <c r="B172" s="17"/>
      <c r="C172" s="17"/>
      <c r="D172" s="17"/>
      <c r="E172" s="17"/>
    </row>
    <row r="173" spans="1:5">
      <c r="A173" s="17"/>
      <c r="B173" s="17"/>
      <c r="C173" s="17"/>
      <c r="D173" s="17"/>
      <c r="E173" s="17"/>
    </row>
    <row r="174" spans="1:5">
      <c r="A174" s="17"/>
      <c r="B174" s="17"/>
      <c r="C174" s="17"/>
      <c r="D174" s="17"/>
      <c r="E174" s="17"/>
    </row>
    <row r="175" spans="1:5">
      <c r="A175" s="17"/>
      <c r="B175" s="17"/>
      <c r="C175" s="17"/>
      <c r="D175" s="17"/>
      <c r="E175" s="17"/>
    </row>
    <row r="176" spans="1:5">
      <c r="A176" s="17"/>
      <c r="B176" s="17"/>
      <c r="C176" s="17"/>
      <c r="D176" s="17"/>
      <c r="E176" s="17"/>
    </row>
    <row r="177" spans="1:5">
      <c r="A177" s="17"/>
      <c r="B177" s="17"/>
      <c r="C177" s="17"/>
      <c r="D177" s="17"/>
      <c r="E177" s="17"/>
    </row>
    <row r="178" spans="1:5">
      <c r="A178" s="17"/>
      <c r="B178" s="17"/>
      <c r="C178" s="17"/>
      <c r="D178" s="17"/>
      <c r="E178" s="17"/>
    </row>
    <row r="179" spans="1:5">
      <c r="A179" s="17"/>
      <c r="B179" s="17"/>
      <c r="C179" s="17"/>
      <c r="D179" s="17"/>
      <c r="E179" s="17"/>
    </row>
    <row r="180" spans="1:5">
      <c r="A180" s="17"/>
      <c r="B180" s="17"/>
      <c r="C180" s="17"/>
      <c r="D180" s="17"/>
      <c r="E180" s="17"/>
    </row>
    <row r="181" spans="1:5">
      <c r="A181" s="17"/>
      <c r="B181" s="17"/>
      <c r="C181" s="17"/>
      <c r="D181" s="17"/>
      <c r="E181" s="17"/>
    </row>
    <row r="182" spans="1:5">
      <c r="A182" s="17"/>
      <c r="B182" s="17"/>
      <c r="C182" s="17"/>
      <c r="D182" s="17"/>
      <c r="E182" s="17"/>
    </row>
    <row r="183" spans="1:5">
      <c r="A183" s="17"/>
      <c r="B183" s="17"/>
      <c r="C183" s="17"/>
      <c r="D183" s="17"/>
      <c r="E183" s="17"/>
    </row>
    <row r="184" spans="1:5">
      <c r="A184" s="17"/>
      <c r="B184" s="17"/>
      <c r="C184" s="17"/>
      <c r="D184" s="17"/>
      <c r="E184" s="17"/>
    </row>
    <row r="185" spans="1:5">
      <c r="A185" s="17"/>
      <c r="B185" s="17"/>
      <c r="C185" s="17"/>
      <c r="D185" s="17"/>
      <c r="E185" s="17"/>
    </row>
    <row r="186" spans="1:5">
      <c r="A186" s="17"/>
      <c r="B186" s="17"/>
      <c r="C186" s="17"/>
      <c r="D186" s="17"/>
      <c r="E186" s="17"/>
    </row>
    <row r="187" spans="1:5">
      <c r="A187" s="17"/>
      <c r="B187" s="17"/>
      <c r="C187" s="17"/>
      <c r="D187" s="17"/>
      <c r="E187" s="17"/>
    </row>
    <row r="188" spans="1:5">
      <c r="A188" s="17"/>
      <c r="B188" s="17"/>
      <c r="C188" s="17"/>
      <c r="D188" s="17"/>
      <c r="E188" s="17"/>
    </row>
    <row r="189" spans="1:5">
      <c r="A189" s="17"/>
      <c r="B189" s="17"/>
      <c r="C189" s="17"/>
      <c r="D189" s="17"/>
      <c r="E189" s="17"/>
    </row>
    <row r="190" spans="1:5">
      <c r="A190" s="17"/>
      <c r="B190" s="17"/>
      <c r="C190" s="17"/>
      <c r="D190" s="17"/>
      <c r="E190" s="17"/>
    </row>
    <row r="191" spans="1:5">
      <c r="A191" s="17"/>
      <c r="B191" s="17"/>
      <c r="C191" s="17"/>
      <c r="D191" s="17"/>
      <c r="E191" s="17"/>
    </row>
    <row r="192" spans="1:5">
      <c r="A192" s="17"/>
      <c r="B192" s="17"/>
      <c r="C192" s="17"/>
      <c r="D192" s="17"/>
      <c r="E192" s="17"/>
    </row>
    <row r="193" spans="1:5">
      <c r="A193" s="17"/>
      <c r="B193" s="17"/>
      <c r="C193" s="17"/>
      <c r="D193" s="17"/>
      <c r="E193" s="17"/>
    </row>
    <row r="194" spans="1:5">
      <c r="A194" s="17"/>
      <c r="B194" s="17"/>
      <c r="C194" s="17"/>
      <c r="D194" s="17"/>
      <c r="E194" s="17"/>
    </row>
    <row r="195" spans="1:5">
      <c r="A195" s="17"/>
      <c r="B195" s="17"/>
      <c r="C195" s="17"/>
      <c r="D195" s="17"/>
      <c r="E195" s="17"/>
    </row>
    <row r="196" spans="1:5">
      <c r="A196" s="17"/>
      <c r="B196" s="17"/>
      <c r="C196" s="17"/>
      <c r="D196" s="17"/>
      <c r="E196" s="17"/>
    </row>
    <row r="197" spans="1:5">
      <c r="A197" s="17"/>
      <c r="B197" s="17"/>
      <c r="C197" s="17"/>
      <c r="D197" s="17"/>
      <c r="E197" s="17"/>
    </row>
    <row r="198" spans="1:5">
      <c r="A198" s="17"/>
      <c r="B198" s="17"/>
      <c r="C198" s="17"/>
      <c r="D198" s="17"/>
      <c r="E198" s="17"/>
    </row>
    <row r="199" spans="1:5">
      <c r="A199" s="17"/>
      <c r="B199" s="17"/>
      <c r="C199" s="17"/>
      <c r="D199" s="17"/>
      <c r="E199" s="17"/>
    </row>
    <row r="200" spans="1:5">
      <c r="A200" s="17"/>
      <c r="B200" s="17"/>
      <c r="C200" s="17"/>
      <c r="D200" s="17"/>
      <c r="E200" s="17"/>
    </row>
    <row r="201" spans="1:5">
      <c r="A201" s="17"/>
      <c r="B201" s="17"/>
      <c r="C201" s="17"/>
      <c r="D201" s="17"/>
      <c r="E201" s="17"/>
    </row>
    <row r="202" spans="1:5">
      <c r="A202" s="17"/>
      <c r="B202" s="17"/>
      <c r="C202" s="17"/>
      <c r="D202" s="17"/>
      <c r="E202" s="17"/>
    </row>
    <row r="203" spans="1:5">
      <c r="A203" s="17"/>
      <c r="B203" s="17"/>
      <c r="C203" s="17"/>
      <c r="D203" s="17"/>
      <c r="E203" s="17"/>
    </row>
    <row r="204" spans="1:5">
      <c r="A204" s="17"/>
      <c r="B204" s="17"/>
      <c r="C204" s="17"/>
      <c r="D204" s="17"/>
      <c r="E204" s="17"/>
    </row>
    <row r="205" spans="1:5">
      <c r="A205" s="17"/>
      <c r="B205" s="17"/>
      <c r="C205" s="17"/>
      <c r="D205" s="17"/>
      <c r="E205" s="17"/>
    </row>
    <row r="206" spans="1:5">
      <c r="A206" s="17"/>
      <c r="B206" s="17"/>
      <c r="C206" s="17"/>
      <c r="D206" s="17"/>
      <c r="E206" s="17"/>
    </row>
    <row r="207" spans="1:5">
      <c r="A207" s="17"/>
      <c r="B207" s="17"/>
      <c r="C207" s="17"/>
      <c r="D207" s="17"/>
      <c r="E207" s="17"/>
    </row>
    <row r="208" spans="1:5">
      <c r="A208" s="17"/>
      <c r="B208" s="17"/>
      <c r="C208" s="17"/>
      <c r="D208" s="17"/>
      <c r="E208" s="17"/>
    </row>
    <row r="209" spans="1:5">
      <c r="A209" s="17"/>
      <c r="B209" s="17"/>
      <c r="C209" s="17"/>
      <c r="D209" s="17"/>
      <c r="E209" s="17"/>
    </row>
    <row r="210" spans="1:5">
      <c r="A210" s="17"/>
      <c r="B210" s="17"/>
      <c r="C210" s="17"/>
      <c r="D210" s="17"/>
      <c r="E210" s="17"/>
    </row>
    <row r="211" spans="1:5">
      <c r="A211" s="17"/>
      <c r="B211" s="17"/>
      <c r="C211" s="17"/>
      <c r="D211" s="17"/>
      <c r="E211" s="17"/>
    </row>
    <row r="212" spans="1:5">
      <c r="A212" s="17"/>
      <c r="B212" s="17"/>
      <c r="C212" s="17"/>
      <c r="D212" s="17"/>
      <c r="E212" s="17"/>
    </row>
    <row r="213" spans="1:5">
      <c r="A213" s="17"/>
      <c r="B213" s="17"/>
      <c r="C213" s="17"/>
      <c r="D213" s="17"/>
      <c r="E213" s="17"/>
    </row>
    <row r="214" spans="1:5">
      <c r="A214" s="17"/>
      <c r="B214" s="17"/>
      <c r="C214" s="17"/>
      <c r="D214" s="17"/>
      <c r="E214" s="17"/>
    </row>
    <row r="215" spans="1:5">
      <c r="A215" s="17"/>
      <c r="B215" s="17"/>
      <c r="C215" s="17"/>
      <c r="D215" s="17"/>
      <c r="E215" s="17"/>
    </row>
    <row r="216" spans="1:5">
      <c r="A216" s="17"/>
      <c r="B216" s="17"/>
      <c r="C216" s="17"/>
      <c r="D216" s="17"/>
      <c r="E216" s="17"/>
    </row>
    <row r="217" spans="1:5">
      <c r="A217" s="17"/>
      <c r="B217" s="17"/>
      <c r="C217" s="17"/>
      <c r="D217" s="17"/>
      <c r="E217" s="17"/>
    </row>
    <row r="218" spans="1:5">
      <c r="A218" s="17"/>
      <c r="B218" s="17"/>
      <c r="C218" s="17"/>
      <c r="D218" s="17"/>
      <c r="E218" s="17"/>
    </row>
    <row r="219" spans="1:5">
      <c r="A219" s="17"/>
      <c r="B219" s="17"/>
      <c r="C219" s="17"/>
      <c r="D219" s="17"/>
      <c r="E219" s="17"/>
    </row>
    <row r="220" spans="1:5">
      <c r="A220" s="17"/>
      <c r="B220" s="17"/>
      <c r="C220" s="17"/>
      <c r="D220" s="17"/>
      <c r="E220" s="17"/>
    </row>
    <row r="221" spans="1:5">
      <c r="A221" s="17"/>
      <c r="B221" s="17"/>
      <c r="C221" s="17"/>
      <c r="D221" s="17"/>
      <c r="E221" s="17"/>
    </row>
    <row r="222" spans="1:5">
      <c r="A222" s="17"/>
      <c r="B222" s="17"/>
      <c r="C222" s="17"/>
      <c r="D222" s="17"/>
      <c r="E222" s="17"/>
    </row>
    <row r="223" spans="1:5">
      <c r="A223" s="17"/>
      <c r="B223" s="17"/>
      <c r="C223" s="17"/>
      <c r="D223" s="17"/>
      <c r="E223" s="17"/>
    </row>
    <row r="224" spans="1:5">
      <c r="A224" s="17"/>
      <c r="B224" s="17"/>
      <c r="C224" s="17"/>
      <c r="D224" s="17"/>
      <c r="E224" s="17"/>
    </row>
    <row r="225" spans="1:5">
      <c r="A225" s="17"/>
      <c r="B225" s="17"/>
      <c r="C225" s="17"/>
      <c r="D225" s="17"/>
      <c r="E225" s="17"/>
    </row>
    <row r="226" spans="1:5">
      <c r="A226" s="17"/>
      <c r="B226" s="17"/>
      <c r="C226" s="17"/>
      <c r="D226" s="17"/>
      <c r="E226" s="17"/>
    </row>
    <row r="227" spans="1:5">
      <c r="A227" s="17"/>
      <c r="B227" s="17"/>
      <c r="C227" s="17"/>
      <c r="D227" s="17"/>
      <c r="E227" s="17"/>
    </row>
    <row r="228" spans="1:5">
      <c r="A228" s="17"/>
      <c r="B228" s="17"/>
      <c r="C228" s="17"/>
      <c r="D228" s="17"/>
      <c r="E228" s="17"/>
    </row>
    <row r="229" spans="1:5">
      <c r="A229" s="17"/>
      <c r="B229" s="17"/>
      <c r="C229" s="17"/>
      <c r="D229" s="17"/>
      <c r="E229" s="17"/>
    </row>
    <row r="230" spans="1:5">
      <c r="A230" s="17"/>
      <c r="B230" s="17"/>
      <c r="C230" s="17"/>
      <c r="D230" s="17"/>
      <c r="E230" s="17"/>
    </row>
    <row r="231" spans="1:5">
      <c r="A231" s="17"/>
      <c r="B231" s="17"/>
      <c r="C231" s="17"/>
      <c r="D231" s="17"/>
      <c r="E231" s="17"/>
    </row>
    <row r="232" spans="1:5">
      <c r="A232" s="17"/>
      <c r="B232" s="17"/>
      <c r="C232" s="17"/>
      <c r="D232" s="17"/>
      <c r="E232" s="17"/>
    </row>
    <row r="233" spans="1:5">
      <c r="A233" s="17"/>
      <c r="B233" s="17"/>
      <c r="C233" s="17"/>
      <c r="D233" s="17"/>
      <c r="E233" s="17"/>
    </row>
    <row r="234" spans="1:5">
      <c r="A234" s="17"/>
      <c r="B234" s="17"/>
      <c r="C234" s="17"/>
      <c r="D234" s="17"/>
      <c r="E234" s="17"/>
    </row>
    <row r="235" spans="1:5">
      <c r="A235" s="17"/>
      <c r="B235" s="17"/>
      <c r="C235" s="17"/>
      <c r="D235" s="17"/>
      <c r="E235" s="17"/>
    </row>
    <row r="236" spans="1:5">
      <c r="A236" s="17"/>
      <c r="B236" s="17"/>
      <c r="C236" s="17"/>
      <c r="D236" s="17"/>
      <c r="E236" s="17"/>
    </row>
    <row r="237" spans="1:5">
      <c r="A237" s="17"/>
      <c r="B237" s="17"/>
      <c r="C237" s="17"/>
      <c r="D237" s="17"/>
      <c r="E237" s="17"/>
    </row>
    <row r="238" spans="1:5">
      <c r="A238" s="17"/>
      <c r="B238" s="17"/>
      <c r="C238" s="17"/>
      <c r="D238" s="17"/>
      <c r="E238" s="17"/>
    </row>
    <row r="239" spans="1:5">
      <c r="A239" s="17"/>
      <c r="B239" s="17"/>
      <c r="C239" s="17"/>
      <c r="D239" s="17"/>
      <c r="E239" s="17"/>
    </row>
    <row r="240" spans="1:5">
      <c r="A240" s="17"/>
      <c r="B240" s="17"/>
      <c r="C240" s="17"/>
      <c r="D240" s="17"/>
      <c r="E240" s="17"/>
    </row>
    <row r="241" spans="1:5">
      <c r="A241" s="17"/>
      <c r="B241" s="17"/>
      <c r="C241" s="17"/>
      <c r="D241" s="17"/>
      <c r="E241" s="17"/>
    </row>
    <row r="242" spans="1:5">
      <c r="A242" s="17"/>
      <c r="B242" s="17"/>
      <c r="C242" s="17"/>
      <c r="D242" s="17"/>
      <c r="E242" s="17"/>
    </row>
    <row r="243" spans="1:5">
      <c r="A243" s="17"/>
      <c r="B243" s="17"/>
      <c r="C243" s="17"/>
      <c r="D243" s="17"/>
      <c r="E243" s="17"/>
    </row>
    <row r="244" spans="1:5">
      <c r="A244" s="17"/>
      <c r="B244" s="17"/>
      <c r="C244" s="17"/>
      <c r="D244" s="17"/>
      <c r="E244" s="17"/>
    </row>
    <row r="245" spans="1:5">
      <c r="A245" s="17"/>
      <c r="B245" s="17"/>
      <c r="C245" s="17"/>
      <c r="D245" s="17"/>
      <c r="E245" s="17"/>
    </row>
    <row r="246" spans="1:5">
      <c r="A246" s="17"/>
      <c r="B246" s="17"/>
      <c r="C246" s="17"/>
      <c r="D246" s="17"/>
      <c r="E246" s="17"/>
    </row>
    <row r="247" spans="1:5">
      <c r="A247" s="17"/>
      <c r="B247" s="17"/>
      <c r="C247" s="17"/>
      <c r="D247" s="17"/>
      <c r="E247" s="17"/>
    </row>
    <row r="248" spans="1:5">
      <c r="A248" s="17"/>
      <c r="B248" s="17"/>
      <c r="C248" s="17"/>
      <c r="D248" s="17"/>
      <c r="E248" s="17"/>
    </row>
    <row r="249" spans="1:5">
      <c r="A249" s="17"/>
      <c r="B249" s="17"/>
      <c r="C249" s="17"/>
      <c r="D249" s="17"/>
      <c r="E249" s="17"/>
    </row>
    <row r="250" spans="1:5">
      <c r="A250" s="17"/>
      <c r="B250" s="17"/>
      <c r="C250" s="17"/>
      <c r="D250" s="17"/>
      <c r="E250" s="17"/>
    </row>
    <row r="251" spans="1:5">
      <c r="A251" s="17"/>
      <c r="B251" s="17"/>
      <c r="C251" s="17"/>
      <c r="D251" s="17"/>
      <c r="E251" s="17"/>
    </row>
    <row r="252" spans="1:5">
      <c r="A252" s="17"/>
      <c r="B252" s="17"/>
      <c r="C252" s="17"/>
      <c r="D252" s="17"/>
      <c r="E252" s="17"/>
    </row>
    <row r="253" spans="1:5">
      <c r="A253" s="17"/>
      <c r="B253" s="17"/>
      <c r="C253" s="17"/>
      <c r="D253" s="17"/>
      <c r="E253" s="17"/>
    </row>
    <row r="254" spans="1:5">
      <c r="A254" s="17"/>
      <c r="B254" s="17"/>
      <c r="C254" s="17"/>
      <c r="D254" s="17"/>
      <c r="E254" s="17"/>
    </row>
    <row r="255" spans="1:5">
      <c r="A255" s="17"/>
      <c r="B255" s="17"/>
      <c r="C255" s="17"/>
      <c r="D255" s="17"/>
      <c r="E255" s="17"/>
    </row>
    <row r="256" spans="1:5">
      <c r="A256" s="17"/>
      <c r="B256" s="17"/>
      <c r="C256" s="17"/>
      <c r="D256" s="17"/>
      <c r="E256" s="17"/>
    </row>
    <row r="257" spans="1:5">
      <c r="A257" s="17"/>
      <c r="B257" s="17"/>
      <c r="C257" s="17"/>
      <c r="D257" s="17"/>
      <c r="E257" s="17"/>
    </row>
    <row r="258" spans="1:5">
      <c r="A258" s="17"/>
      <c r="B258" s="17"/>
      <c r="C258" s="17"/>
      <c r="D258" s="17"/>
      <c r="E258" s="17"/>
    </row>
    <row r="259" spans="1:5">
      <c r="A259" s="17"/>
      <c r="B259" s="17"/>
      <c r="C259" s="17"/>
      <c r="D259" s="17"/>
      <c r="E259" s="17"/>
    </row>
    <row r="260" spans="1:5">
      <c r="A260" s="17"/>
      <c r="B260" s="17"/>
      <c r="C260" s="17"/>
      <c r="D260" s="17"/>
      <c r="E260" s="17"/>
    </row>
    <row r="261" spans="1:5">
      <c r="A261" s="17"/>
      <c r="B261" s="17"/>
      <c r="C261" s="17"/>
      <c r="D261" s="17"/>
      <c r="E261" s="17"/>
    </row>
    <row r="262" spans="1:5">
      <c r="A262" s="17"/>
      <c r="B262" s="17"/>
      <c r="C262" s="17"/>
      <c r="D262" s="17"/>
      <c r="E262" s="17"/>
    </row>
    <row r="263" spans="1:5">
      <c r="A263" s="17"/>
      <c r="B263" s="17"/>
      <c r="C263" s="17"/>
      <c r="D263" s="17"/>
      <c r="E263" s="17"/>
    </row>
    <row r="264" spans="1:5">
      <c r="A264" s="17"/>
      <c r="B264" s="17"/>
      <c r="C264" s="17"/>
      <c r="D264" s="17"/>
      <c r="E264" s="17"/>
    </row>
    <row r="265" spans="1:5">
      <c r="A265" s="17"/>
      <c r="B265" s="17"/>
      <c r="C265" s="17"/>
      <c r="D265" s="17"/>
      <c r="E265" s="17"/>
    </row>
    <row r="266" spans="1:5">
      <c r="A266" s="17"/>
      <c r="B266" s="17"/>
      <c r="C266" s="17"/>
      <c r="D266" s="17"/>
      <c r="E266" s="17"/>
    </row>
    <row r="267" spans="1:5">
      <c r="A267" s="17"/>
      <c r="B267" s="17"/>
      <c r="C267" s="17"/>
      <c r="D267" s="17"/>
      <c r="E267" s="17"/>
    </row>
    <row r="268" spans="1:5">
      <c r="A268" s="17"/>
      <c r="B268" s="17"/>
      <c r="C268" s="17"/>
      <c r="D268" s="17"/>
      <c r="E268" s="17"/>
    </row>
    <row r="269" spans="1:5">
      <c r="A269" s="17"/>
      <c r="B269" s="17"/>
      <c r="C269" s="17"/>
      <c r="D269" s="17"/>
      <c r="E269" s="17"/>
    </row>
    <row r="270" spans="1:5">
      <c r="A270" s="17"/>
      <c r="B270" s="17"/>
      <c r="C270" s="17"/>
      <c r="D270" s="17"/>
      <c r="E270" s="17"/>
    </row>
    <row r="271" spans="1:5">
      <c r="A271" s="17"/>
      <c r="B271" s="17"/>
      <c r="C271" s="17"/>
      <c r="D271" s="17"/>
      <c r="E271" s="17"/>
    </row>
    <row r="272" spans="1:5">
      <c r="A272" s="17"/>
      <c r="B272" s="17"/>
      <c r="C272" s="17"/>
      <c r="D272" s="17"/>
      <c r="E272" s="17"/>
    </row>
    <row r="273" spans="1:5">
      <c r="A273" s="17"/>
      <c r="B273" s="17"/>
      <c r="C273" s="17"/>
      <c r="D273" s="17"/>
      <c r="E273" s="17"/>
    </row>
    <row r="274" spans="1:5">
      <c r="A274" s="17"/>
      <c r="B274" s="17"/>
      <c r="C274" s="17"/>
      <c r="D274" s="17"/>
      <c r="E274" s="17"/>
    </row>
    <row r="275" spans="1:5">
      <c r="A275" s="17"/>
      <c r="B275" s="17"/>
      <c r="C275" s="17"/>
      <c r="D275" s="17"/>
      <c r="E275" s="17"/>
    </row>
    <row r="276" spans="1:5">
      <c r="A276" s="17"/>
      <c r="B276" s="17"/>
      <c r="C276" s="17"/>
      <c r="D276" s="17"/>
      <c r="E276" s="17"/>
    </row>
    <row r="277" spans="1:5">
      <c r="A277" s="17"/>
      <c r="B277" s="17"/>
      <c r="C277" s="17"/>
      <c r="D277" s="17"/>
      <c r="E277" s="17"/>
    </row>
    <row r="278" spans="1:5">
      <c r="A278" s="17"/>
      <c r="B278" s="17"/>
      <c r="C278" s="17"/>
      <c r="D278" s="17"/>
      <c r="E278" s="17"/>
    </row>
    <row r="279" spans="1:5">
      <c r="A279" s="17"/>
      <c r="B279" s="17"/>
      <c r="C279" s="17"/>
      <c r="D279" s="17"/>
      <c r="E279" s="17"/>
    </row>
    <row r="280" spans="1:5">
      <c r="A280" s="17"/>
      <c r="B280" s="17"/>
      <c r="C280" s="17"/>
      <c r="D280" s="17"/>
      <c r="E280" s="17"/>
    </row>
    <row r="281" spans="1:5">
      <c r="A281" s="17"/>
      <c r="B281" s="17"/>
      <c r="C281" s="17"/>
      <c r="D281" s="17"/>
      <c r="E281" s="17"/>
    </row>
    <row r="282" spans="1:5">
      <c r="A282" s="17"/>
      <c r="B282" s="17"/>
      <c r="C282" s="17"/>
      <c r="D282" s="17"/>
      <c r="E282" s="17"/>
    </row>
    <row r="283" spans="1:5">
      <c r="A283" s="17"/>
      <c r="B283" s="17"/>
      <c r="C283" s="17"/>
      <c r="D283" s="17"/>
      <c r="E283" s="17"/>
    </row>
    <row r="284" spans="1:5">
      <c r="A284" s="17"/>
      <c r="B284" s="17"/>
      <c r="C284" s="17"/>
      <c r="D284" s="17"/>
      <c r="E284" s="17"/>
    </row>
    <row r="285" spans="1:5">
      <c r="A285" s="17"/>
      <c r="B285" s="17"/>
      <c r="C285" s="17"/>
      <c r="D285" s="17"/>
      <c r="E285" s="17"/>
    </row>
    <row r="286" spans="1:5">
      <c r="A286" s="17"/>
      <c r="B286" s="17"/>
      <c r="C286" s="17"/>
      <c r="D286" s="17"/>
      <c r="E286" s="17"/>
    </row>
    <row r="287" spans="1:5">
      <c r="A287" s="17"/>
      <c r="B287" s="17"/>
      <c r="C287" s="17"/>
      <c r="D287" s="17"/>
      <c r="E287" s="17"/>
    </row>
    <row r="288" spans="1:5">
      <c r="A288" s="17"/>
      <c r="B288" s="17"/>
      <c r="C288" s="17"/>
      <c r="D288" s="17"/>
      <c r="E288" s="17"/>
    </row>
    <row r="289" spans="1:5">
      <c r="A289" s="17"/>
      <c r="B289" s="17"/>
      <c r="C289" s="17"/>
      <c r="D289" s="17"/>
      <c r="E289" s="17"/>
    </row>
    <row r="290" spans="1:5">
      <c r="A290" s="17"/>
      <c r="B290" s="17"/>
      <c r="C290" s="17"/>
      <c r="D290" s="17"/>
      <c r="E290" s="17"/>
    </row>
  </sheetData>
  <conditionalFormatting sqref="A3:E123">
    <cfRule type="expression" dxfId="0" priority="1" stopIfTrue="1">
      <formula>$F3&lt;&gt;$AZ$60000</formula>
    </cfRule>
  </conditionalFormatting>
  <pageMargins left="0.7" right="0.7" top="0.75" bottom="0.75" header="0.3" footer="0.3"/>
  <pageSetup paperSize="9"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mark.sapsford</dc:creator>
  <cp:lastModifiedBy>Tatjana Valujeva</cp:lastModifiedBy>
  <dcterms:created xsi:type="dcterms:W3CDTF">2010-10-21T15:47:36Z</dcterms:created>
  <dcterms:modified xsi:type="dcterms:W3CDTF">2016-05-21T15:28:26Z</dcterms:modified>
</cp:coreProperties>
</file>